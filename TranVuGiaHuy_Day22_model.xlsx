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vml" ContentType="application/vnd.openxmlformats-officedocument.vmlDrawin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1.xml" ContentType="application/vnd.openxmlformats-officedocument.spreadsheetml.comments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e019e50d303450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_README" sheetId="1" r:id="R024328c29fd54ccc"/>
    <x:sheet xmlns:r="http://schemas.openxmlformats.org/officeDocument/2006/relationships" name="1_Cost_Job" sheetId="2" r:id="Rcda9c1f82f01464f"/>
    <x:sheet xmlns:r="http://schemas.openxmlformats.org/officeDocument/2006/relationships" name="2_Pricing" sheetId="3" r:id="R3c79781e9c394081"/>
    <x:sheet xmlns:r="http://schemas.openxmlformats.org/officeDocument/2006/relationships" name="3_Value_Metric" sheetId="4" r:id="R15df6595dde641b7"/>
    <x:sheet xmlns:r="http://schemas.openxmlformats.org/officeDocument/2006/relationships" name="4_Channel_Fit" sheetId="5" r:id="Rd58c776769b547ae"/>
    <x:sheet xmlns:r="http://schemas.openxmlformats.org/officeDocument/2006/relationships" name="5_90Day_Plan" sheetId="6" r:id="R6a59f9b957fc45cf"/>
    <x:sheet xmlns:r="http://schemas.openxmlformats.org/officeDocument/2006/relationships" name="6_Benchmarks" sheetId="7" r:id="R7ff5e32b1a8a4b76"/>
  </x:sheets>
</x:workbook>
</file>

<file path=xl/comments1.xml><?xml version="1.0" encoding="utf-8"?>
<x:comments xmlns:x="http://schemas.openxmlformats.org/spreadsheetml/2006/main">
  <x:authors>
    <x:author/>
  </x:authors>
  <x:commentList>
    <x:comment ref="B5" authorId="0">
      <x:text>
        <x:r>
          <x:t>======
ID#AAACIQEOV6c
Unknown Author    (2026-10-08 02:20:56)
Ví dụ mẫu đang điền sẵn — thay bằng sản phẩm của bạn.</x:t>
        </x:r>
      </x:text>
    </x:comment>
  </x:commentList>
</x:comments>
</file>

<file path=xl/sharedStrings.xml><?xml version="1.0" encoding="utf-8"?>
<x:sst xmlns:x="http://schemas.openxmlformats.org/spreadsheetml/2006/main">
  <x:si>
    <x:t xml:space="preserve">QUY ƯỚC MÀU — CHỈ ĐIỀN VÀO Ô MÀU VÀNG</x:t>
  </x:si>
  <x:si>
    <x:t xml:space="preserve">Ô VÀNG, chữ xanh dương</x:t>
  </x:si>
  <x:si>
    <x:t xml:space="preserve">Ô bạn phải điền</x:t>
  </x:si>
  <x:si>
    <x:t xml:space="preserve">Ô XÁM, chữ đen</x:t>
  </x:si>
  <x:si>
    <x:t xml:space="preserve">Công thức tự tính — KHÔNG SỬA</x:t>
  </x:si>
  <x:si>
    <x:t xml:space="preserve">Chữ xanh lá</x:t>
  </x:si>
  <x:si>
    <x:t xml:space="preserve">Link sang tab khác</x:t>
  </x:si>
  <x:si>
    <x:t xml:space="preserve">Ô XÁM đậm nhạt</x:t>
  </x:si>
  <x:si>
    <x:t xml:space="preserve">Bảng tham chiếu, chỉ đọc</x:t>
  </x:si>
  <x:si>
    <x:t xml:space="preserve">THỨ TỰ LÀM — 6 TRẠM, 120 PHÚT</x:t>
  </x:si>
  <x:si>
    <x:t xml:space="preserve">Trạm 1 · 15'</x:t>
  </x:si>
  <x:si>
    <x:t xml:space="preserve">Ngân sách khách &amp; định nghĩa Job → điền S1–S2 của tab 1_Cost_Job</x:t>
  </x:si>
  <x:si>
    <x:t xml:space="preserve">Trạm 2 · 20'</x:t>
  </x:si>
  <x:si>
    <x:t xml:space="preserve">Value Metric → tab 3_Value_Metric</x:t>
  </x:si>
  <x:si>
    <x:t xml:space="preserve">Trạm 3 · 30'</x:t>
  </x:si>
  <x:si>
    <x:t xml:space="preserve">Cost/Job, giá sàn &amp; giá trần → tab 1_Cost_Job (S3–S8) rồi 2_Pricing</x:t>
  </x:si>
  <x:si>
    <x:t xml:space="preserve">Trạm 4 · 20'</x:t>
  </x:si>
  <x:si>
    <x:t xml:space="preserve">Kênh phân phối &amp; Affordability Test → tab 4_Channel_Fit</x:t>
  </x:si>
  <x:si>
    <x:t xml:space="preserve">Trạm 5 · 15'</x:t>
  </x:si>
  <x:si>
    <x:t xml:space="preserve">Pain Moment &amp; 90-Day Plan → tab 5_90Day_Plan</x:t>
  </x:si>
  <x:si>
    <x:t xml:space="preserve">Trạm 6 · 20'</x:t>
  </x:si>
  <x:si>
    <x:t xml:space="preserve">Evidence Pack &amp; ráp One-Pager → tab 5_90Day_Plan + file .docx</x:t>
  </x:si>
  <x:si>
    <x:t xml:space="preserve">3 QUY TẮC KHÔNG ĐƯỢC PHÁ</x:t>
  </x:si>
  <x:si>
    <x:t xml:space="preserve">1. Chia cho số job HOÀN THÀNH, không phải số job đã thử.</x:t>
  </x:si>
  <x:si>
    <x:t xml:space="preserve">2. HITL và Retry không được để 0 nếu không có lý do viết ra được.</x:t>
  </x:si>
  <x:si>
    <x:t xml:space="preserve">3. Mọi con số giá API phải có NGÀY kiểm tra (xem tab 6_Benchmarks).</x:t>
  </x:si>
  <x:si>
    <x:t xml:space="preserve">TAB 1 — COST/JOB CALCULATOR</x:t>
  </x:si>
  <x:si>
    <x:t xml:space="preserve">Trạm 1 (S1–S2) và Trạm 3 (S3–S8). Chỉ điền ô vàng.</x:t>
  </x:si>
  <x:si>
    <x:t xml:space="preserve">S1. ĐỊNH NGHĨA JOB</x:t>
  </x:si>
  <x:si>
    <x:t xml:space="preserve">1 job của bạn là gì?</x:t>
  </x:si>
  <x:si>
    <x:t xml:space="preserve">Phải là thứ KHÁCH coi là giá trị — không phải '1 request'</x:t>
  </x:si>
  <x:si>
    <x:t xml:space="preserve">Biến thể HITL: A hay B?</x:t>
  </x:si>
  <x:si>
    <x:t xml:space="preserve">S2. KHỐI LƯỢNG</x:t>
  </x:si>
  <x:si>
    <x:t xml:space="preserve">Số job THỬ / tháng</x:t>
  </x:si>
  <x:si>
    <x:t xml:space="preserve">job</x:t>
  </x:si>
  <x:si>
    <x:t xml:space="preserve">MẪU SỐ của Cost/Job</x:t>
  </x:si>
  <x:si>
    <x:t xml:space="preserve">Số ca phải escalate</x:t>
  </x:si>
  <x:si>
    <x:t xml:space="preserve">S3. API — LLM</x:t>
  </x:si>
  <x:si>
    <x:t xml:space="preserve">Giá input ($ / 1M token)</x:t>
  </x:si>
  <x:si>
    <x:t xml:space="preserve">Giá output ($ / 1M token)</x:t>
  </x:si>
  <x:si>
    <x:t xml:space="preserve">Giá cache WRITE ($ / 1M token)</x:t>
  </x:si>
  <x:si>
    <x:t xml:space="preserve">Giá cache READ ($ / 1M token)</x:t>
  </x:si>
  <x:si>
    <x:t xml:space="preserve">Số lượt (turns) / job</x:t>
  </x:si>
  <x:si>
    <x:t xml:space="preserve">lượt</x:t>
  </x:si>
  <x:si>
    <x:t xml:space="preserve">Token input CACHE ĐƯỢC / lượt</x:t>
  </x:si>
  <x:si>
    <x:t xml:space="preserve">token</x:t>
  </x:si>
  <x:si>
    <x:t xml:space="preserve">Token input FRESH / lượt</x:t>
  </x:si>
  <x:si>
    <x:t xml:space="preserve">Token output / lượt</x:t>
  </x:si>
  <x:si>
    <x:t xml:space="preserve">→ Cache write / job</x:t>
  </x:si>
  <x:si>
    <x:t xml:space="preserve">→ Cache read / job</x:t>
  </x:si>
  <x:si>
    <x:t xml:space="preserve">→ Input fresh / job</x:t>
  </x:si>
  <x:si>
    <x:t xml:space="preserve">→ Output / job</x:t>
  </x:si>
  <x:si>
    <x:t xml:space="preserve">→ LLM / job — CÓ prompt caching</x:t>
  </x:si>
  <x:si>
    <x:t xml:space="preserve">→ LLM / job — KHÔNG cache</x:t>
  </x:si>
  <x:si>
    <x:t xml:space="preserve">→ % tiết kiệm nhờ caching</x:t>
  </x:si>
  <x:si>
    <x:t xml:space="preserve">Đòn bẩy rẻ nhất bạn có</x:t>
  </x:si>
  <x:si>
    <x:t xml:space="preserve">Dùng Batch API? (1 = có, 0 = không)</x:t>
  </x:si>
  <x:si>
    <x:t xml:space="preserve">→ LLM / job sau Batch</x:t>
  </x:si>
  <x:si>
    <x:t xml:space="preserve">S4. API — SPEECH (để 0 nếu sản phẩm không có thoại)</x:t>
  </x:si>
  <x:si>
    <x:t xml:space="preserve">Giá STT ($ / phút)</x:t>
  </x:si>
  <x:si>
    <x:t xml:space="preserve">Số phút audio / job</x:t>
  </x:si>
  <x:si>
    <x:t xml:space="preserve">phút</x:t>
  </x:si>
  <x:si>
    <x:t xml:space="preserve">Giá TTS ($ / 1M ký tự)</x:t>
  </x:si>
  <x:si>
    <x:t xml:space="preserve">Số ký tự TTS / job</x:t>
  </x:si>
  <x:si>
    <x:t xml:space="preserve">ký tự</x:t>
  </x:si>
  <x:si>
    <x:t xml:space="preserve">→ Speech / job</x:t>
  </x:si>
  <x:si>
    <x:t xml:space="preserve">S5. INFRA</x:t>
  </x:si>
  <x:si>
    <x:t xml:space="preserve">Infra / job ($)</x:t>
  </x:si>
  <x:si>
    <x:t xml:space="preserve">Telephony ($ / phút)</x:t>
  </x:si>
  <x:si>
    <x:t xml:space="preserve">→ Infra / job</x:t>
  </x:si>
  <x:si>
    <x:t xml:space="preserve">S6. RETRY</x:t>
  </x:si>
  <x:si>
    <x:t xml:space="preserve">Tỷ lệ job phải chạy lại</x:t>
  </x:si>
  <x:si>
    <x:t xml:space="preserve">→ Retry / job</x:t>
  </x:si>
  <x:si>
    <x:t xml:space="preserve">S7. HITL — người trong vòng lặp</x:t>
  </x:si>
  <x:si>
    <x:t xml:space="preserve">Chi phí nhân sự ($ / giờ, fully-loaded)</x:t>
  </x:si>
  <x:si>
    <x:t xml:space="preserve">Số phút xử lý 1 ca escalate</x:t>
  </x:si>
  <x:si>
    <x:t xml:space="preserve">→ Escalation / tháng (chỉ Biến thể B)</x:t>
  </x:si>
  <x:si>
    <x:t xml:space="preserve">Biến thể A → 0 vì khách tự chịu</x:t>
  </x:si>
  <x:si>
    <x:t xml:space="preserve">→ Tổng HITL / tháng</x:t>
  </x:si>
  <x:si>
    <x:t xml:space="preserve">S8. OVERHEAD (tuỳ chọn)</x:t>
  </x:si>
  <x:si>
    <x:t xml:space="preserve">KẾT QUẢ</x:t>
  </x:si>
  <x:si>
    <x:t xml:space="preserve">Chi phí biến đổi / tháng (API + Speech + Infra + Retry)</x:t>
  </x:si>
  <x:si>
    <x:t xml:space="preserve">HITL / tháng</x:t>
  </x:si>
  <x:si>
    <x:t xml:space="preserve">Overhead / tháng</x:t>
  </x:si>
  <x:si>
    <x:t xml:space="preserve">TỔNG CHI PHÍ / tháng</x:t>
  </x:si>
  <x:si>
    <x:t xml:space="preserve">★ COST/JOB (chưa overhead)</x:t>
  </x:si>
  <x:si>
    <x:t xml:space="preserve">$/job</x:t>
  </x:si>
  <x:si>
    <x:t xml:space="preserve">Con số chảy sang tab 2_Pricing</x:t>
  </x:si>
  <x:si>
    <x:t xml:space="preserve">★ COST/JOB (có overhead)</x:t>
  </x:si>
  <x:si>
    <x:t xml:space="preserve">₫/USD</x:t>
  </x:si>
  <x:si>
    <x:t xml:space="preserve">→ Cost/Job quy đổi</x:t>
  </x:si>
  <x:si>
    <x:t xml:space="preserve">₫/job</x:t>
  </x:si>
  <x:si>
    <x:t xml:space="preserve">THÀNH PHẦN NÀO ĂN NHIỀU NHẤT? (kiểm tra nhanh)</x:t>
  </x:si>
  <x:si>
    <x:t xml:space="preserve">LLM</x:t>
  </x:si>
  <x:si>
    <x:t xml:space="preserve">Speech</x:t>
  </x:si>
  <x:si>
    <x:t xml:space="preserve">Infra</x:t>
  </x:si>
  <x:si>
    <x:t xml:space="preserve">Retry</x:t>
  </x:si>
  <x:si>
    <x:t xml:space="preserve">Overhead</x:t>
  </x:si>
  <x:si>
    <x:t xml:space="preserve">TAB 2 — PRICING SANITY CHECK</x:t>
  </x:si>
  <x:si>
    <x:t xml:space="preserve">Trạm 3. Cost/Job tự lấy từ tab 1. Bạn điền giá bán và các con số neo giá.</x:t>
  </x:si>
  <x:si>
    <x:t xml:space="preserve">GIÁ SÀN</x:t>
  </x:si>
  <x:si>
    <x:t xml:space="preserve">Cost/Job (từ tab 1_Cost_Job)</x:t>
  </x:si>
  <x:si>
    <x:t xml:space="preserve">Hệ số an toàn tối thiểu</x:t>
  </x:si>
  <x:si>
    <x:t xml:space="preserve">×</x:t>
  </x:si>
  <x:si>
    <x:t xml:space="preserve">Giá bán ≥ 3 × Cost/Job</x:t>
  </x:si>
  <x:si>
    <x:t xml:space="preserve">→ GIÁ SÀN</x:t>
  </x:si>
  <x:si>
    <x:t xml:space="preserve">GIÁ TRẦN — NEO THEO THỨ KHÁCH ĐANG CHI</x:t>
  </x:si>
  <x:si>
    <x:t xml:space="preserve">Giá trị khách tiết kiệm được / tháng ($)</x:t>
  </x:si>
  <x:si>
    <x:t xml:space="preserve">Số job / tháng của 1 khách</x:t>
  </x:si>
  <x:si>
    <x:t xml:space="preserve">→ Trần theo giá trị — mức 10%</x:t>
  </x:si>
  <x:si>
    <x:t xml:space="preserve">→ Trần theo giá trị — mức 25%</x:t>
  </x:si>
  <x:si>
    <x:t xml:space="preserve">Lương / tháng của vị trí bị thay ($)</x:t>
  </x:si>
  <x:si>
    <x:t xml:space="preserve">→ Trần theo nhân công — mức 50%</x:t>
  </x:si>
  <x:si>
    <x:t xml:space="preserve">→ Trần theo nhân công — mức 70%</x:t>
  </x:si>
  <x:si>
    <x:t xml:space="preserve">GIÁ BÁN CỦA BẠN</x:t>
  </x:si>
  <x:si>
    <x:t xml:space="preserve">★ Giá bán đề xuất ($ / job)</x:t>
  </x:si>
  <x:si>
    <x:t xml:space="preserve">→ Bội số so với Cost/Job</x:t>
  </x:si>
  <x:si>
    <x:t xml:space="preserve">→ GROSS MARGIN</x:t>
  </x:si>
  <x:si>
    <x:t xml:space="preserve">→ Đèn: bội số ≥ 3?</x:t>
  </x:si>
  <x:si>
    <x:t xml:space="preserve">→ Đèn: Gross Margin</x:t>
  </x:si>
  <x:si>
    <x:t xml:space="preserve">→ Đèn: GM có cao bất thường?</x:t>
  </x:si>
  <x:si>
    <x:t xml:space="preserve">→ Giá bán nằm trong vùng neo?</x:t>
  </x:si>
  <x:si>
    <x:t xml:space="preserve">Ký hiệu: v = chi phí biến đổi / job thử · q = QA / job thử · e = chi phí 1 ca escalate</x:t>
  </x:si>
  <x:si>
    <x:t xml:space="preserve">v — chi phí biến đổi / job thử</x:t>
  </x:si>
  <x:si>
    <x:t xml:space="preserve">e — chi phí 1 ca escalate</x:t>
  </x:si>
  <x:si>
    <x:t xml:space="preserve">Gross Margin mục tiêu</x:t>
  </x:si>
  <x:si>
    <x:t xml:space="preserve">→ Kết luận</x:t>
  </x:si>
  <x:si>
    <x:t xml:space="preserve">Cost/Job</x:t>
  </x:si>
  <x:si>
    <x:t xml:space="preserve">Gross Margin</x:t>
  </x:si>
  <x:si>
    <x:t xml:space="preserve">Đánh giá</x:t>
  </x:si>
  <x:si>
    <x:t xml:space="preserve">5 CON SỐ PHẢI MANG SANG ONE-PAGER</x:t>
  </x:si>
  <x:si>
    <x:t xml:space="preserve">Giá sàn (3×)</x:t>
  </x:si>
  <x:si>
    <x:t xml:space="preserve">Giá bán đề xuất</x:t>
  </x:si>
  <x:si>
    <x:t xml:space="preserve">TAB 3 — VALUE METRIC SCORECARD</x:t>
  </x:si>
  <x:si>
    <x:t xml:space="preserve">Trạm 2. Chấm 0 / 1 / 2 điểm cho mỗi câu, theo THỰC TẾ HÔM NAY.</x:t>
  </x:si>
  <x:si>
    <x:t xml:space="preserve">A. ATTRIBUTION — bạn đo được kết quả là do AI tạo ra không?</x:t>
  </x:si>
  <x:si>
    <x:t xml:space="preserve">1. Tôi có log đầy đủ mỗi job AI xử lý, gắn được với kết quả cuối cùng</x:t>
  </x:si>
  <x:si>
    <x:t xml:space="preserve">2. Tôi có bộ eval đo được tỷ lệ AI làm đúng, có số liệu</x:t>
  </x:si>
  <x:si>
    <x:t xml:space="preserve">3. Khách hàng đồng ý với cách tôi định nghĩa 'thành công' của một job</x:t>
  </x:si>
  <x:si>
    <x:t xml:space="preserve">4. Tôi phân biệt được kết quả do AI tạo ra với kết quả do yếu tố khác</x:t>
  </x:si>
  <x:si>
    <x:t xml:space="preserve">5. Tôi viết được định nghĩa chặt như Intercom: cái gì tính tiền, cái gì không</x:t>
  </x:si>
  <x:si>
    <x:t xml:space="preserve">→ ĐIỂM ATTRIBUTION (tối đa 10)</x:t>
  </x:si>
  <x:si>
    <x:t xml:space="preserve">B. AUTONOMY — AI tự chạy hay cần người?</x:t>
  </x:si>
  <x:si>
    <x:t xml:space="preserve">1. AI hoàn thành job từ đầu đến cuối, không cần người bấm nút giữa chừng</x:t>
  </x:si>
  <x:si>
    <x:t xml:space="preserve">2. Job chạy được ngoài giờ hành chính mà không ai trực</x:t>
  </x:si>
  <x:si>
    <x:t xml:space="preserve">3. Khi AI không chắc, nó tự chuyển tiếp đúng chỗ — không cần người phân loại</x:t>
  </x:si>
  <x:si>
    <x:t xml:space="preserve">4. Tỷ lệ ca phải có người can thiệp dưới 20%</x:t>
  </x:si>
  <x:si>
    <x:t xml:space="preserve">5. Người vận hành chỉ kiểm tra mẫu (QA), không xử lý từng ca</x:t>
  </x:si>
  <x:si>
    <x:t xml:space="preserve">→ ĐIỂM AUTONOMY (tối đa 10)</x:t>
  </x:si>
  <x:si>
    <x:t xml:space="preserve">GỢI Ý CỦA MODEL</x:t>
  </x:si>
  <x:si>
    <x:t xml:space="preserve">→ Value Metric gợi ý</x:t>
  </x:si>
  <x:si>
    <x:t xml:space="preserve">Ngưỡng 7/10 là quy ước của bài tập, không phải chuẩn ngành — dùng để buộc bạn ra quyết định, không phải để thay bạn quyết định.</x:t>
  </x:si>
  <x:si>
    <x:t xml:space="preserve">BENCHMARK NGƯỢC — 2 sản phẩm thật cùng loại job</x:t>
  </x:si>
  <x:si>
    <x:t xml:space="preserve">Tên sản phẩm</x:t>
  </x:si>
  <x:si>
    <x:t xml:space="preserve">Value Metric</x:t>
  </x:si>
  <x:si>
    <x:t xml:space="preserve">Giá công bố</x:t>
  </x:si>
  <x:si>
    <x:t xml:space="preserve">Link nguồn</x:t>
  </x:si>
  <x:si>
    <x:t xml:space="preserve">QUYẾT ĐỊNH CUỐI</x:t>
  </x:si>
  <x:si>
    <x:t xml:space="preserve">Value Metric tôi chọn</x:t>
  </x:si>
  <x:si>
    <x:t xml:space="preserve">Nếu KHÁC gợi ý — lý do thị trường là gì?</x:t>
  </x:si>
  <x:si>
    <x:t xml:space="preserve">Decision Note — câu 1: tôi chọn đơn vị nào?</x:t>
  </x:si>
  <x:si>
    <x:t xml:space="preserve">Decision Note — câu 2: bằng chứng Attribution / Autonomy?</x:t>
  </x:si>
  <x:si>
    <x:t xml:space="preserve">Decision Note — câu 3: mô hình này lỗ trong tình huống nào?</x:t>
  </x:si>
  <x:si>
    <x:t xml:space="preserve">TAB 4 — CHANNEL FIT &amp; AFFORDABILITY TEST</x:t>
  </x:si>
  <x:si>
    <x:t xml:space="preserve">Trạm 4. Chọn ĐÚNG 1 kênh cho 90 ngày đầu — và chứng minh bằng số.</x:t>
  </x:si>
  <x:si>
    <x:t xml:space="preserve">A. NGÂN SÁCH CAC — bạn nuôi nổi kênh nào?</x:t>
  </x:si>
  <x:si>
    <x:t xml:space="preserve">ARPU / tháng ($)</x:t>
  </x:si>
  <x:si>
    <x:t xml:space="preserve">Gross Margin (từ tab 2_Pricing)</x:t>
  </x:si>
  <x:si>
    <x:t xml:space="preserve">Phân khúc (SMB / Mid / Enterprise)</x:t>
  </x:si>
  <x:si>
    <x:t xml:space="preserve">→ CAC payback cho phép (tháng)</x:t>
  </x:si>
  <x:si>
    <x:t xml:space="preserve">tháng</x:t>
  </x:si>
  <x:si>
    <x:t xml:space="preserve">★ NGÂN SÁCH CAC / khách</x:t>
  </x:si>
  <x:si>
    <x:t xml:space="preserve">ARPU × GM × số tháng payback</x:t>
  </x:si>
  <x:si>
    <x:t xml:space="preserve">→ ACV (giá trị hợp đồng / năm)</x:t>
  </x:si>
  <x:si>
    <x:t xml:space="preserve">B. SALES VIABILITY — một AE phải chốt bao nhiêu deal?</x:t>
  </x:si>
  <x:si>
    <x:t xml:space="preserve">Quota / AE / năm ($)</x:t>
  </x:si>
  <x:si>
    <x:t xml:space="preserve">Số ngày làm việc / năm</x:t>
  </x:si>
  <x:si>
    <x:t xml:space="preserve">ngày</x:t>
  </x:si>
  <x:si>
    <x:t xml:space="preserve">→ Số deal / AE / năm</x:t>
  </x:si>
  <x:si>
    <x:t xml:space="preserve">★ Số deal / AE / NGÀY</x:t>
  </x:si>
  <x:si>
    <x:t xml:space="preserve">deal/ngày</x:t>
  </x:si>
  <x:si>
    <x:t xml:space="preserve">→ Kết luận Sales-Led</x:t>
  </x:si>
  <x:si>
    <x:t xml:space="preserve">C. ĐỐI CHIẾU CAC THỰC TẾ CỦA MOTION CÓ SALES</x:t>
  </x:si>
  <x:si>
    <x:t xml:space="preserve">Cost per opportunity ($)</x:t>
  </x:si>
  <x:si>
    <x:t xml:space="preserve">Win rate</x:t>
  </x:si>
  <x:si>
    <x:t xml:space="preserve">→ CAC thực tế ước tính / khách</x:t>
  </x:si>
  <x:si>
    <x:t xml:space="preserve">★ Lệch bao nhiêu lần so với ngân sách CAC?</x:t>
  </x:si>
  <x:si>
    <x:t xml:space="preserve">Đây là bằng chứng chọn kênh của bạn</x:t>
  </x:si>
  <x:si>
    <x:t xml:space="preserve">D. CHẤM ĐIỂM 3 KÊNH (1 = rất kém, 5 = rất tốt)</x:t>
  </x:si>
  <x:si>
    <x:t xml:space="preserve">Tiêu chí</x:t>
  </x:si>
  <x:si>
    <x:t xml:space="preserve">PLG</x:t>
  </x:si>
  <x:si>
    <x:t xml:space="preserve">Sales-Led</x:t>
  </x:si>
  <x:si>
    <x:t xml:space="preserve">Partner-Led</x:t>
  </x:si>
  <x:si>
    <x:t xml:space="preserve">1. Ngân sách CAC của tôi nuôi nổi kênh này</x:t>
  </x:si>
  <x:si>
    <x:t xml:space="preserve">2. Khách hàng mục tiêu thực sự mua theo cách này</x:t>
  </x:si>
  <x:si>
    <x:t xml:space="preserve">3. Đội hiện tại có năng lực chạy kênh này ngay</x:t>
  </x:si>
  <x:si>
    <x:t xml:space="preserve">4. Tôi tiếp cận được điểm nhúng / partner trong 30 ngày</x:t>
  </x:si>
  <x:si>
    <x:t xml:space="preserve">5. Kênh này đưa tôi đến ĐÚNG Pain Moment</x:t>
  </x:si>
  <x:si>
    <x:t xml:space="preserve">6. Tôi đo được hiệu quả trong vòng 90 ngày</x:t>
  </x:si>
  <x:si>
    <x:t xml:space="preserve">→ TỔNG ĐIỂM</x:t>
  </x:si>
  <x:si>
    <x:t xml:space="preserve">→ Kênh điểm cao nhất</x:t>
  </x:si>
  <x:si>
    <x:t xml:space="preserve">E. CHỐT KÊNH</x:t>
  </x:si>
  <x:si>
    <x:t xml:space="preserve">★ Kênh tôi chọn cho 90 ngày đầu</x:t>
  </x:si>
  <x:si>
    <x:t xml:space="preserve">ĐÚNG 1 kênh. Chọn 2 kênh trở lên bị trừ điểm.</x:t>
  </x:si>
  <x:si>
    <x:t xml:space="preserve">Nếu Partner-Led: TÊN CÔNG TY partner</x:t>
  </x:si>
  <x:si>
    <x:t xml:space="preserve">'Các nền tảng trong ngành' = chưa có kênh</x:t>
  </x:si>
  <x:si>
    <x:t xml:space="preserve">Đã nói chuyện với họ chưa? (Rồi / Chưa)</x:t>
  </x:si>
  <x:si>
    <x:t xml:space="preserve">Bạn mang lại giá trị gì cho partner?</x:t>
  </x:si>
  <x:si>
    <x:t xml:space="preserve">Nếu rơi vào vùng không khả thi — lối thoát nào?</x:t>
  </x:si>
  <x:si>
    <x:t xml:space="preserve">Giảm giá để tự phục vụ / tăng giá + service / Partner-Led</x:t>
  </x:si>
  <x:si>
    <x:t xml:space="preserve">TAB 5 — PAIN MOMENT · 90-DAY PLAN · EVIDENCE PACK</x:t>
  </x:si>
  <x:si>
    <x:t xml:space="preserve">Trạm 5 và Trạm 6.</x:t>
  </x:si>
  <x:si>
    <x:t xml:space="preserve">A. PAIN MOMENT — phải đủ 3 phần</x:t>
  </x:si>
  <x:si>
    <x:t xml:space="preserve">MẤY GIỜ khách đau nhất?</x:t>
  </x:si>
  <x:si>
    <x:t xml:space="preserve">Lúc đó họ ĐANG LÀM GÌ?</x:t>
  </x:si>
  <x:si>
    <x:t xml:space="preserve">Họ đang DÙNG APP / KÊNH NÀO?</x:t>
  </x:si>
  <x:si>
    <x:t xml:space="preserve">→ Điểm nhúng cụ thể của bạn</x:t>
  </x:si>
  <x:si>
    <x:t xml:space="preserve">Một bề mặt tích hợp có tên, không phải 'website của chúng tôi'</x:t>
  </x:si>
  <x:si>
    <x:t xml:space="preserve">B. 90-DAY PLAN</x:t>
  </x:si>
  <x:si>
    <x:t xml:space="preserve">THÁNG 1 — Học</x:t>
  </x:si>
  <x:si>
    <x:t xml:space="preserve">THÁNG 2–3 — Đòn bẩy</x:t>
  </x:si>
  <x:si>
    <x:t xml:space="preserve">THÁNG 4+ — Mở rộng</x:t>
  </x:si>
  <x:si>
    <x:t xml:space="preserve">Kênh sử dụng</x:t>
  </x:si>
  <x:si>
    <x:t xml:space="preserve">Mục tiêu số khách</x:t>
  </x:si>
  <x:si>
    <x:t xml:space="preserve">Việc cụ thể 1</x:t>
  </x:si>
  <x:si>
    <x:t xml:space="preserve">Việc cụ thể 2</x:t>
  </x:si>
  <x:si>
    <x:t xml:space="preserve">Việc cụ thể 3</x:t>
  </x:si>
  <x:si>
    <x:t xml:space="preserve">KPI đo được</x:t>
  </x:si>
  <x:si>
    <x:t xml:space="preserve">Người chịu trách nhiệm</x:t>
  </x:si>
  <x:si>
    <x:t xml:space="preserve">Tháng 1 là giai đoạn HỌC, không phải scale. Kế hoạch 'tháng 1 lấy 200 khách ở 5 ngành' là kế hoạch chưa ai từng thử làm.</x:t>
  </x:si>
  <x:si>
    <x:t xml:space="preserve">C. EVIDENCE PACK — 3 tài sản bán hàng</x:t>
  </x:si>
  <x:si>
    <x:t xml:space="preserve">Tài sản</x:t>
  </x:si>
  <x:si>
    <x:t xml:space="preserve">Đã có? (Rồi/Chưa)</x:t>
  </x:si>
  <x:si>
    <x:t xml:space="preserve">Nội dung 1 câu — hoặc việc cần làm</x:t>
  </x:si>
  <x:si>
    <x:t xml:space="preserve">Người phụ trách · Deadline</x:t>
  </x:si>
  <x:si>
    <x:t xml:space="preserve">1. Eval Results </x:t>
  </x:si>
  <x:si>
    <x:t xml:space="preserve">3. Pilot Report</x:t>
  </x:si>
  <x:si>
    <x:t xml:space="preserve">Ô nào CHƯA CÓ thì ghi deadline — đừng bỏ trống. Thành thật về khoảng trống được điểm cao hơn bịa nội dung.</x:t>
  </x:si>
  <x:si>
    <x:t xml:space="preserve">D. BÀI TEST NGƯỜI LẠ — nhóm khác đọc One-Pager trong 2 phút</x:t>
  </x:si>
  <x:si>
    <x:t xml:space="preserve">Họ trả lời được: bán gì, cho ai, tính tiền theo đơn vị nào? (Được/Không)</x:t>
  </x:si>
  <x:si>
    <x:t xml:space="preserve">Họ trả lời được: có lãi trên mỗi đơn vị không, số nào chứng minh? (Được/Không)</x:t>
  </x:si>
  <x:si>
    <x:t xml:space="preserve">Họ trả lời được: tiếp cận khách qua đâu, vì sao kênh đó? (Được/Không)</x:t>
  </x:si>
  <x:si>
    <x:t xml:space="preserve">Số câu họ phải hỏi lại (mục tiêu ≤ 3)</x:t>
  </x:si>
  <x:si>
    <x:t xml:space="preserve">NGÀY BẠN KIỂM TRA LẠI GIÁ</x:t>
  </x:si>
  <x:si>
    <x:t xml:space="preserve">Bắt buộc điền — Rubric có chấm mục này</x:t>
  </x:si>
  <x:si>
    <x:t xml:space="preserve">Nhóm</x:t>
  </x:si>
  <x:si>
    <x:t xml:space="preserve">Mục</x:t>
  </x:si>
  <x:si>
    <x:t xml:space="preserve">Giá</x:t>
  </x:si>
  <x:si>
    <x:t xml:space="preserve">Đơn vị</x:t>
  </x:si>
  <x:si>
    <x:t xml:space="preserve">Nguồn</x:t>
  </x:si>
  <x:si>
    <x:t xml:space="preserve">Claude Opus 5 — input / output</x:t>
  </x:si>
  <x:si>
    <x:t xml:space="preserve">5,00 / 25,00</x:t>
  </x:si>
  <x:si>
    <x:t xml:space="preserve">$ / 1M token</x:t>
  </x:si>
  <x:si>
    <x:t xml:space="preserve">platform.claude.com/docs/en/about-claude/pricing</x:t>
  </x:si>
  <x:si>
    <x:t xml:space="preserve">Claude Sonnet 5 — input / output</x:t>
  </x:si>
  <x:si>
    <x:t xml:space="preserve">2,00 / 10,00</x:t>
  </x:si>
  <x:si>
    <x:t xml:space="preserve">Claude Haiku 4.5 — input / output</x:t>
  </x:si>
  <x:si>
    <x:t xml:space="preserve">1,00 / 5,00</x:t>
  </x:si>
  <x:si>
    <x:t xml:space="preserve">Claude — cache write 5' / cache read</x:t>
  </x:si>
  <x:si>
    <x:t xml:space="preserve">1,25× / 0,10× input</x:t>
  </x:si>
  <x:si>
    <x:t xml:space="preserve">hệ số</x:t>
  </x:si>
  <x:si>
    <x:t xml:space="preserve">⏳ OpenAI GPT-5.6 Sol — input / output</x:t>
  </x:si>
  <x:si>
    <x:t xml:space="preserve">4,00 / 20,00</x:t>
  </x:si>
  <x:si>
    <x:t xml:space="preserve">developers.openai.com/api/docs/pricing (KM 21/08–21/11/2026; list 5,00/30,00)</x:t>
  </x:si>
  <x:si>
    <x:t xml:space="preserve">OpenAI GPT-5.6 Luna — input / output</x:t>
  </x:si>
  <x:si>
    <x:t xml:space="preserve">0,20 / 1,20</x:t>
  </x:si>
  <x:si>
    <x:t xml:space="preserve">developers.openai.com/api/docs/pricing</x:t>
  </x:si>
  <x:si>
    <x:t xml:space="preserve">OpenAI — cached input / Batch API</x:t>
  </x:si>
  <x:si>
    <x:t xml:space="preserve">10% input / −50%</x:t>
  </x:si>
  <x:si>
    <x:t xml:space="preserve">Gemini 3.1 Pro — input / output (≤200k)</x:t>
  </x:si>
  <x:si>
    <x:t xml:space="preserve">2,00 / 12,00</x:t>
  </x:si>
  <x:si>
    <x:t xml:space="preserve">ai.google.dev/gemini-api/docs/pricing</x:t>
  </x:si>
  <x:si>
    <x:t xml:space="preserve">⏳ Gemini 3.7 Flash — input / output</x:t>
  </x:si>
  <x:si>
    <x:t xml:space="preserve">0,75 / 3,75</x:t>
  </x:si>
  <x:si>
    <x:t xml:space="preserve">ai.google.dev/gemini-api/docs/pricing (KM đến 31/12/2026; sau đó 1,50/7,50)</x:t>
  </x:si>
  <x:si>
    <x:t xml:space="preserve">STT</x:t>
  </x:si>
  <x:si>
    <x:t xml:space="preserve">Deepgram Nova-3 — pre-recorded</x:t>
  </x:si>
  <x:si>
    <x:t xml:space="preserve">0,0043</x:t>
  </x:si>
  <x:si>
    <x:t xml:space="preserve">$ / phút</x:t>
  </x:si>
  <x:si>
    <x:t xml:space="preserve">deepgram.com/pricing</x:t>
  </x:si>
  <x:si>
    <x:t xml:space="preserve">⏳ Deepgram Nova-3 — streaming</x:t>
  </x:si>
  <x:si>
    <x:t xml:space="preserve">list 0,0077 · KM 0,0048</x:t>
  </x:si>
  <x:si>
    <x:t xml:space="preserve">deepgram.com/pricing — đang khuyến mại, kiểm tra lại</x:t>
  </x:si>
  <x:si>
    <x:t xml:space="preserve">AssemblyAI Universal-2 — async</x:t>
  </x:si>
  <x:si>
    <x:t xml:space="preserve">0,0025</x:t>
  </x:si>
  <x:si>
    <x:t xml:space="preserve">assemblyai.com/pricing</x:t>
  </x:si>
  <x:si>
    <x:t xml:space="preserve">OpenAI gpt-4o-mini-transcribe</x:t>
  </x:si>
  <x:si>
    <x:t xml:space="preserve">0,0030</x:t>
  </x:si>
  <x:si>
    <x:t xml:space="preserve">TTS</x:t>
  </x:si>
  <x:si>
    <x:t xml:space="preserve">Google Cloud TTS — Standard</x:t>
  </x:si>
  <x:si>
    <x:t xml:space="preserve">4,00</x:t>
  </x:si>
  <x:si>
    <x:t xml:space="preserve">$ / 1M ký tự</x:t>
  </x:si>
  <x:si>
    <x:t xml:space="preserve">cloud.google.com/text-to-speech/pricing (rẻ nhất)</x:t>
  </x:si>
  <x:si>
    <x:t xml:space="preserve">OpenAI tts-1</x:t>
  </x:si>
  <x:si>
    <x:t xml:space="preserve">15,00</x:t>
  </x:si>
  <x:si>
    <x:t xml:space="preserve">ElevenLabs Flash / Turbo</x:t>
  </x:si>
  <x:si>
    <x:t xml:space="preserve">50,00</x:t>
  </x:si>
  <x:si>
    <x:t xml:space="preserve">elevenlabs.io/pricing/api</x:t>
  </x:si>
  <x:si>
    <x:t xml:space="preserve">ElevenLabs v3 / v2 Multilingual</x:t>
  </x:si>
  <x:si>
    <x:t xml:space="preserve">100,00</x:t>
  </x:si>
  <x:si>
    <x:t xml:space="preserve">Quy đổi</x:t>
  </x:si>
  <x:si>
    <x:t xml:space="preserve">Tốc độ nói</x:t>
  </x:si>
  <x:si>
    <x:t xml:space="preserve">≈ 900</x:t>
  </x:si>
  <x:si>
    <x:t xml:space="preserve">ký tự / phút</x:t>
  </x:si>
  <x:si>
    <x:t xml:space="preserve">≈150 từ/phút — dùng để đổi phút ↔ ký tự</x:t>
  </x:si>
  <x:si>
    <x:t xml:space="preserve">Lưu ý</x:t>
  </x:si>
  <x:si>
    <x:t xml:space="preserve">Google TTS — ký tự CJK</x:t>
  </x:si>
  <x:si>
    <x:t xml:space="preserve">tính là 1 ký tự</x:t>
  </x:si>
  <x:si>
    <x:t xml:space="preserve">—</x:t>
  </x:si>
  <x:si>
    <x:t xml:space="preserve">cloud.google.com/text-to-speech/pricing (KHÔNG phải ×2)</x:t>
  </x:si>
  <x:si>
    <x:t xml:space="preserve">Google STT — tính theo kênh</x:t>
  </x:si>
  <x:si>
    <x:t xml:space="preserve">4 kênh × 120s = 480s</x:t>
  </x:si>
  <x:si>
    <x:t xml:space="preserve">cloud.google.com/speech-to-text/pricing</x:t>
  </x:si>
  <x:si>
    <x:t xml:space="preserve">Streaming vs async STT</x:t>
  </x:si>
  <x:si>
    <x:t xml:space="preserve">1× đến ~5×</x:t>
  </x:si>
  <x:si>
    <x:t xml:space="preserve">Tuỳ nhà cung cấp — AssemblyAI 1,0× · Google ~5×. Đừng dùng hệ số chung</x:t>
  </x:si>
  <x:si>
    <x:t xml:space="preserve">Sản phẩm</x:t>
  </x:si>
  <x:si>
    <x:t xml:space="preserve">Intercom Fin — resolution</x:t>
  </x:si>
  <x:si>
    <x:t xml:space="preserve">0,99</x:t>
  </x:si>
  <x:si>
    <x:t xml:space="preserve">$ / outcome</x:t>
  </x:si>
  <x:si>
    <x:t xml:space="preserve">fin.ai/pricing</x:t>
  </x:si>
  <x:si>
    <x:t xml:space="preserve">Intercom Fin — qualification (sales)</x:t>
  </x:si>
  <x:si>
    <x:t xml:space="preserve">9,99</x:t>
  </x:si>
  <x:si>
    <x:t xml:space="preserve">Zendesk — automated resolution</x:t>
  </x:si>
  <x:si>
    <x:t xml:space="preserve">1,50</x:t>
  </x:si>
  <x:si>
    <x:t xml:space="preserve">$ / resolution</x:t>
  </x:si>
  <x:si>
    <x:t xml:space="preserve">zendesk.com/blog/ai/agentic-ai/outcome-based-pricing/ (blog, không trên trang giá)</x:t>
  </x:si>
  <x:si>
    <x:t xml:space="preserve">Salesforce Agentforce — Flex Credit</x:t>
  </x:si>
  <x:si>
    <x:t xml:space="preserve">0,005 (action = 0,10)</x:t>
  </x:si>
  <x:si>
    <x:t xml:space="preserve">$ / credit</x:t>
  </x:si>
  <x:si>
    <x:t xml:space="preserve">salesforce.com/agentforce/pricing</x:t>
  </x:si>
  <x:si>
    <x:t xml:space="preserve">Salesforce Agentforce — conversation</x:t>
  </x:si>
  <x:si>
    <x:t xml:space="preserve">2,00</x:t>
  </x:si>
  <x:si>
    <x:t xml:space="preserve">$ / conversation</x:t>
  </x:si>
  <x:si>
    <x:t xml:space="preserve">GitHub Copilot — AI Credit</x:t>
  </x:si>
  <x:si>
    <x:t xml:space="preserve">0,01</x:t>
  </x:si>
  <x:si>
    <x:t xml:space="preserve">docs.github.com/en/copilot/get-started/plans</x:t>
  </x:si>
  <x:si>
    <x:t xml:space="preserve">GitHub Copilot Business / Enterprise</x:t>
  </x:si>
  <x:si>
    <x:t xml:space="preserve">19 / 39</x:t>
  </x:si>
  <x:si>
    <x:t xml:space="preserve">$ / seat / tháng</x:t>
  </x:si>
  <x:si>
    <x:t xml:space="preserve">Notion — Business / credits</x:t>
  </x:si>
  <x:si>
    <x:t xml:space="preserve">20 / 10 per 1.000</x:t>
  </x:si>
  <x:si>
    <x:t xml:space="preserve">$ / member / tháng</x:t>
  </x:si>
  <x:si>
    <x:t xml:space="preserve">notion.com/pricing</x:t>
  </x:si>
  <x:si>
    <x:t xml:space="preserve">Benchmark</x:t>
  </x:si>
  <x:si>
    <x:t xml:space="preserve">Gross Margin AI-native 2026E</x:t>
  </x:si>
  <x:si>
    <x:t xml:space="preserve">≈ 53%</x:t>
  </x:si>
  <x:si>
    <x:t xml:space="preserve">%</x:t>
  </x:si>
  <x:si>
    <x:t xml:space="preserve">ICONIQ, 2026 State of AI: The Builder's Economy (07/2026)</x:t>
  </x:si>
  <x:si>
    <x:t xml:space="preserve">Gross Margin cloud (middle 50%)</x:t>
  </x:si>
  <x:si>
    <x:t xml:space="preserve">60 – 80%</x:t>
  </x:si>
  <x:si>
    <x:t xml:space="preserve">Bessemer, Scaling to $100 Million (2024)</x:t>
  </x:si>
  <x:si>
    <x:t xml:space="preserve">Vertical AI — GM / model cost</x:t>
  </x:si>
  <x:si>
    <x:t xml:space="preserve">≈65% / ≈10% doanh thu</x:t>
  </x:si>
  <x:si>
    <x:t xml:space="preserve">Bessemer, State of the Cloud 2024</x:t>
  </x:si>
  <x:si>
    <x:t xml:space="preserve">CAC payback SMB / Mid / Enterprise</x:t>
  </x:si>
  <x:si>
    <x:t xml:space="preserve">12 / 18 / 24</x:t>
  </x:si>
  <x:si>
    <x:t xml:space="preserve">LTV : CAC</x:t>
  </x:si>
  <x:si>
    <x:t xml:space="preserve">≥ 3×</x:t>
  </x:si>
  <x:si>
    <x:t xml:space="preserve">lần</x:t>
  </x:si>
  <x:si>
    <x:t xml:space="preserve">David Skok, SaaS Metrics 2.0 (cập nhật 06/2026)</x:t>
  </x:si>
  <x:si>
    <x:t xml:space="preserve">Cost per opportunity 2026 (theo phân khúc)</x:t>
  </x:si>
  <x:si>
    <x:t xml:space="preserve">6.300 · 8.000 · 11.200</x:t>
  </x:si>
  <x:si>
    <x:t xml:space="preserve">$</x:t>
  </x:si>
  <x:si>
    <x:t xml:space="preserve">ICONIQ, State of GTM 2026 (tr.22)</x:t>
  </x:si>
  <x:si>
    <x:t xml:space="preserve">ACV sàn cho inside sales</x:t>
  </x:si>
  <x:si>
    <x:t xml:space="preserve">≈ 3.000</x:t>
  </x:si>
  <x:si>
    <x:t xml:space="preserve">$ / năm</x:t>
  </x:si>
  <x:si>
    <x:t xml:space="preserve">Tomasz Tunguz (2016) — có kèm giả định để tính lại</x:t>
  </x:si>
  <x:si>
    <x:t xml:space="preserve">Lưu ý: trang marketing của nhà cung cấp có thể hiển thị giá cũ hơn trang docs. Ưu tiên trang docs / pricing chính thức.</x:t>
  </x:si>
</x:sst>
</file>

<file path=xl/styles.xml><?xml version="1.0" encoding="utf-8"?>
<x:styleSheet xmlns:x="http://schemas.openxmlformats.org/spreadsheetml/2006/main">
  <x:numFmts count="12">
    <x:numFmt numFmtId="164" formatCode="0.0%"/>
    <x:numFmt numFmtId="165" formatCode="\$#,##0.0000"/>
    <x:numFmt numFmtId="166" formatCode="#,##0.0"/>
    <x:numFmt numFmtId="167" formatCode="\$#,##0.00"/>
    <x:numFmt numFmtId="168" formatCode="\$#,##0"/>
    <x:numFmt numFmtId="169" formatCode="#,##0.0\×"/>
    <x:numFmt numFmtId="170" formatCode="#,##0&quot; ₫&quot;"/>
    <x:numFmt numFmtId="200" formatCode="$0.0000"/>
    <x:numFmt numFmtId="201" formatCode="0.00%"/>
    <x:numFmt numFmtId="202" formatCode="0.00"/>
    <x:numFmt numFmtId="203" formatCode="$0.00"/>
    <x:numFmt numFmtId="204" formatCode="dd/mm/yyyy"/>
  </x:numFmts>
  <x:fonts count="13">
    <x:font>
      <x:sz val="11"/>
      <x:color theme="1"/>
      <x:name val="Calibri"/>
      <x:scheme val="minor"/>
    </x:font>
    <x:font>
      <x:b/>
      <x:sz val="14"/>
      <x:color rgb="FFFFFFFF"/>
      <x:name val="Arial"/>
    </x:font>
    <x:font>
      <x:sz val="11"/>
      <x:color theme="1"/>
      <x:name val="Calibri"/>
    </x:font>
    <x:font>
      <x:i/>
      <x:sz val="9"/>
      <x:color rgb="FF666666"/>
      <x:name val="Arial"/>
    </x:font>
    <x:font>
      <x:b/>
      <x:sz val="11"/>
      <x:color rgb="FF1F2937"/>
      <x:name val="Arial"/>
    </x:font>
    <x:font>
      <x:sz val="10"/>
      <x:color rgb="FF0000FF"/>
      <x:name val="Arial"/>
    </x:font>
    <x:font>
      <x:sz val="10"/>
      <x:color theme="1"/>
      <x:name val="Arial"/>
    </x:font>
    <x:font>
      <x:sz val="10"/>
      <x:color rgb="FF008000"/>
      <x:name val="Arial"/>
    </x:font>
    <x:font>
      <x:b/>
      <x:sz val="10"/>
      <x:color theme="1"/>
      <x:name val="Arial"/>
    </x:font>
    <x:font>
      <x:b/>
      <x:sz val="11"/>
      <x:color rgb="FFC00000"/>
      <x:name val="Arial"/>
    </x:font>
    <x:font>
      <x:b/>
      <x:sz val="10"/>
      <x:color rgb="FFFFFFFF"/>
      <x:name val="Arial"/>
    </x:font>
    <x:font>
      <x:sz val="10"/>
      <x:color rgb="FF222222"/>
      <x:name val="Arial"/>
      <x:scheme val="minor"/>
    </x:font>
    <x:font>
      <x:sz val="10"/>
      <x:color rgb="FF0000FF"/>
      <x:name val="Arial"/>
      <x:scheme val="minor"/>
    </x:font>
  </x:fonts>
  <x:fills count="10">
    <x:fill>
      <x:patternFill patternType="none"/>
    </x:fill>
    <x:fill>
      <x:patternFill patternType="lightGray"/>
    </x:fill>
    <x:fill>
      <x:patternFill patternType="solid">
        <x:fgColor rgb="FF1F2937"/>
      </x:patternFill>
    </x:fill>
    <x:fill>
      <x:patternFill patternType="solid">
        <x:fgColor rgb="FFFFF2CC"/>
      </x:patternFill>
    </x:fill>
    <x:fill>
      <x:patternFill patternType="solid">
        <x:fgColor rgb="FFE8EAF6"/>
      </x:patternFill>
    </x:fill>
    <x:fill>
      <x:patternFill patternType="solid">
        <x:fgColor rgb="FFF2F2F2"/>
      </x:patternFill>
    </x:fill>
    <x:fill>
      <x:patternFill patternType="solid">
        <x:fgColor rgb="FFEDEDED"/>
      </x:patternFill>
    </x:fill>
    <x:fill>
      <x:patternFill patternType="solid">
        <x:fgColor rgb="FFFFF2CC"/>
      </x:patternFill>
    </x:fill>
    <x:fill>
      <x:patternFill patternType="solid">
        <x:fgColor rgb="FFE8ECF5"/>
      </x:patternFill>
    </x:fill>
    <x:fill>
      <x:patternFill patternType="solid">
        <x:fgColor rgb="FFF2F2F2"/>
      </x:patternFill>
    </x:fill>
  </x:fills>
  <x:borders count="3">
    <x:border/>
    <x:border>
      <x:left/>
      <x:right/>
      <x:top/>
      <x:bottom/>
    </x:border>
    <x:border>
      <x:left style="thin">
        <x:color rgb="FFD0D0D0"/>
      </x:left>
      <x:right style="thin">
        <x:color rgb="FFD0D0D0"/>
      </x:right>
      <x:top style="thin">
        <x:color rgb="FFD0D0D0"/>
      </x:top>
      <x:bottom style="thin">
        <x:color rgb="FFD0D0D0"/>
      </x:bottom>
    </x:border>
  </x:borders>
  <x:cellStyleXfs count="1">
    <x:xf numFmtId="0" fontId="0" fillId="0" borderId="0" applyFont="1" applyAlignment="1"/>
  </x:cellStyleXfs>
  <x:cellXfs count="83">
    <x:xf numFmtId="0" fontId="0" fillId="0" borderId="0" xfId="0" applyFont="1" applyAlignment="1">
      <x:alignment vertical="bottom" wrapText="0" shrinkToFit="0"/>
    </x:xf>
    <x:xf numFmtId="0" fontId="1" fillId="2" borderId="1" xfId="0" applyFont="1" applyFill="1" applyBorder="1" applyAlignment="1">
      <x:alignment vertical="bottom" wrapText="0" shrinkToFit="0"/>
    </x:xf>
    <x:xf numFmtId="0" fontId="2" fillId="2" borderId="1" xfId="0" applyFont="1" applyFill="1" applyBorder="1" applyAlignment="1">
      <x:alignment vertical="bottom" wrapText="0" shrinkToFit="0"/>
    </x:xf>
    <x:xf numFmtId="0" fontId="3" fillId="0" borderId="0" xfId="0" applyFont="1" applyAlignment="1">
      <x:alignment vertical="bottom" wrapText="0" shrinkToFit="0"/>
    </x:xf>
    <x:xf numFmtId="0" fontId="4" fillId="0" borderId="0" xfId="0" applyFont="1" applyAlignment="1">
      <x:alignment vertical="bottom" wrapText="0" shrinkToFit="0"/>
    </x:xf>
    <x:xf numFmtId="0" fontId="5" fillId="3" borderId="2" xfId="0" applyFont="1" applyFill="1" applyBorder="1" applyAlignment="1">
      <x:alignment vertical="bottom" wrapText="0" shrinkToFit="0"/>
    </x:xf>
    <x:xf numFmtId="0" fontId="6" fillId="0" borderId="0" xfId="0" applyFont="1" applyAlignment="1">
      <x:alignment vertical="bottom" wrapText="0" shrinkToFit="0"/>
    </x:xf>
    <x:xf numFmtId="0" fontId="4" fillId="4" borderId="1" xfId="0" applyFont="1" applyFill="1" applyBorder="1" applyAlignment="1">
      <x:alignment vertical="bottom" wrapText="0" shrinkToFit="0"/>
    </x:xf>
    <x:xf numFmtId="0" fontId="6" fillId="5" borderId="2" xfId="0" applyFont="1" applyFill="1" applyBorder="1" applyAlignment="1">
      <x:alignment vertical="bottom" wrapText="0" shrinkToFit="0"/>
    </x:xf>
    <x:xf numFmtId="0" fontId="7" fillId="0" borderId="2" xfId="0" applyFont="1" applyBorder="1" applyAlignment="1">
      <x:alignment vertical="bottom" wrapText="0" shrinkToFit="0"/>
    </x:xf>
    <x:xf numFmtId="0" fontId="2" fillId="4" borderId="1" xfId="0" applyFont="1" applyFill="1" applyBorder="1" applyAlignment="1">
      <x:alignment vertical="bottom" wrapText="0" shrinkToFit="0"/>
    </x:xf>
    <x:xf numFmtId="0" fontId="6" fillId="6" borderId="2" xfId="0" applyFont="1" applyFill="1" applyBorder="1" applyAlignment="1">
      <x:alignment vertical="bottom" wrapText="0" shrinkToFit="0"/>
    </x:xf>
    <x:xf numFmtId="0" fontId="8" fillId="0" borderId="0" xfId="0" applyFont="1" applyAlignment="1">
      <x:alignment vertical="bottom" wrapText="0" shrinkToFit="0"/>
    </x:xf>
    <x:xf numFmtId="0" fontId="5" fillId="3" borderId="2" xfId="0" applyFont="1" applyFill="1" applyBorder="1" applyAlignment="1">
      <x:alignment horizontal="center" vertical="bottom" wrapText="0" shrinkToFit="0"/>
    </x:xf>
    <x:xf numFmtId="0" fontId="6" fillId="0" borderId="0" xfId="0" applyFont="1" applyAlignment="1">
      <x:alignment vertical="bottom" wrapText="0" shrinkToFit="0"/>
    </x:xf>
    <x:xf numFmtId="3" fontId="5" fillId="3" borderId="2" xfId="0" applyNumberFormat="1" applyFont="1" applyFill="1" applyBorder="1" applyAlignment="1">
      <x:alignment vertical="bottom" wrapText="0" shrinkToFit="0"/>
    </x:xf>
    <x:xf numFmtId="164" fontId="5" fillId="3" borderId="2" xfId="0" applyNumberFormat="1" applyFont="1" applyFill="1" applyBorder="1" applyAlignment="1">
      <x:alignment vertical="bottom" wrapText="0" shrinkToFit="0"/>
    </x:xf>
    <x:xf numFmtId="0" fontId="3" fillId="0" borderId="0" xfId="0" applyFont="1" applyAlignment="1">
      <x:alignment vertical="bottom" wrapText="0" shrinkToFit="0"/>
    </x:xf>
    <x:xf numFmtId="3" fontId="9" fillId="5" borderId="2" xfId="0" applyNumberFormat="1" applyFont="1" applyFill="1" applyBorder="1" applyAlignment="1">
      <x:alignment vertical="bottom" wrapText="0" shrinkToFit="0"/>
    </x:xf>
    <x:xf numFmtId="3" fontId="6" fillId="5" borderId="2" xfId="0" applyNumberFormat="1" applyFont="1" applyFill="1" applyBorder="1" applyAlignment="1">
      <x:alignment vertical="bottom" wrapText="0" shrinkToFit="0"/>
    </x:xf>
    <x:xf numFmtId="165" fontId="7" fillId="5" borderId="2" xfId="0" applyNumberFormat="1" applyFont="1" applyFill="1" applyBorder="1" applyAlignment="1">
      <x:alignment vertical="bottom" wrapText="0" shrinkToFit="0"/>
    </x:xf>
    <x:xf numFmtId="166" fontId="5" fillId="3" borderId="2" xfId="0" applyNumberFormat="1" applyFont="1" applyFill="1" applyBorder="1" applyAlignment="1">
      <x:alignment vertical="bottom" wrapText="0" shrinkToFit="0"/>
    </x:xf>
    <x:xf numFmtId="167" fontId="5" fillId="3" borderId="2" xfId="0" applyNumberFormat="1" applyFont="1" applyFill="1" applyBorder="1" applyAlignment="1">
      <x:alignment vertical="bottom" wrapText="0" shrinkToFit="0"/>
    </x:xf>
    <x:xf numFmtId="165" fontId="9" fillId="5" borderId="2" xfId="0" applyNumberFormat="1" applyFont="1" applyFill="1" applyBorder="1" applyAlignment="1">
      <x:alignment vertical="bottom" wrapText="0" shrinkToFit="0"/>
    </x:xf>
    <x:xf numFmtId="165" fontId="6" fillId="5" borderId="2" xfId="0" applyNumberFormat="1" applyFont="1" applyFill="1" applyBorder="1" applyAlignment="1">
      <x:alignment vertical="bottom" wrapText="0" shrinkToFit="0"/>
    </x:xf>
    <x:xf numFmtId="168" fontId="5" fillId="3" borderId="2" xfId="0" applyNumberFormat="1" applyFont="1" applyFill="1" applyBorder="1" applyAlignment="1">
      <x:alignment vertical="bottom" wrapText="0" shrinkToFit="0"/>
    </x:xf>
    <x:xf numFmtId="0" fontId="9" fillId="5" borderId="2" xfId="0" applyFont="1" applyFill="1" applyBorder="1" applyAlignment="1">
      <x:alignment vertical="bottom" wrapText="0" shrinkToFit="0"/>
    </x:xf>
    <x:xf numFmtId="0" fontId="8" fillId="6" borderId="2" xfId="0" applyFont="1" applyFill="1" applyBorder="1" applyAlignment="1">
      <x:alignment vertical="bottom" wrapText="0" shrinkToFit="0"/>
    </x:xf>
    <x:xf numFmtId="164" fontId="6" fillId="5" borderId="2" xfId="0" applyNumberFormat="1" applyFont="1" applyFill="1" applyBorder="1" applyAlignment="1">
      <x:alignment vertical="bottom" wrapText="0" shrinkToFit="0"/>
    </x:xf>
    <x:xf numFmtId="165" fontId="5" fillId="3" borderId="2" xfId="0" applyNumberFormat="1" applyFont="1" applyFill="1" applyBorder="1" applyAlignment="1">
      <x:alignment vertical="bottom" wrapText="0" shrinkToFit="0"/>
    </x:xf>
    <x:xf numFmtId="169" fontId="6" fillId="5" borderId="2" xfId="0" applyNumberFormat="1" applyFont="1" applyFill="1" applyBorder="1" applyAlignment="1">
      <x:alignment vertical="bottom" wrapText="0" shrinkToFit="0"/>
    </x:xf>
    <x:xf numFmtId="164" fontId="9" fillId="5" borderId="2" xfId="0" applyNumberFormat="1" applyFont="1" applyFill="1" applyBorder="1" applyAlignment="1">
      <x:alignment vertical="bottom" wrapText="0" shrinkToFit="0"/>
    </x:xf>
    <x:xf numFmtId="167" fontId="6" fillId="5" borderId="2" xfId="0" applyNumberFormat="1" applyFont="1" applyFill="1" applyBorder="1" applyAlignment="1">
      <x:alignment vertical="bottom" wrapText="0" shrinkToFit="0"/>
    </x:xf>
    <x:xf numFmtId="167" fontId="9" fillId="5" borderId="2" xfId="0" applyNumberFormat="1" applyFont="1" applyFill="1" applyBorder="1" applyAlignment="1">
      <x:alignment vertical="bottom" wrapText="0" shrinkToFit="0"/>
    </x:xf>
    <x:xf numFmtId="164" fontId="7" fillId="5" borderId="2" xfId="0" applyNumberFormat="1" applyFont="1" applyFill="1" applyBorder="1" applyAlignment="1">
      <x:alignment vertical="bottom" wrapText="0" shrinkToFit="0"/>
    </x:xf>
    <x:xf numFmtId="168" fontId="9" fillId="5" borderId="2" xfId="0" applyNumberFormat="1" applyFont="1" applyFill="1" applyBorder="1" applyAlignment="1">
      <x:alignment vertical="bottom" wrapText="0" shrinkToFit="0"/>
    </x:xf>
    <x:xf numFmtId="170" fontId="6" fillId="5" borderId="2" xfId="0" applyNumberFormat="1" applyFont="1" applyFill="1" applyBorder="1" applyAlignment="1">
      <x:alignment vertical="bottom" wrapText="0" shrinkToFit="0"/>
    </x:xf>
    <x:xf numFmtId="168" fontId="6" fillId="5" borderId="2" xfId="0" applyNumberFormat="1" applyFont="1" applyFill="1" applyBorder="1" applyAlignment="1">
      <x:alignment vertical="bottom" wrapText="0" shrinkToFit="0"/>
    </x:xf>
    <x:xf numFmtId="4" fontId="9" fillId="5" borderId="2" xfId="0" applyNumberFormat="1" applyFont="1" applyFill="1" applyBorder="1" applyAlignment="1">
      <x:alignment vertical="bottom" wrapText="0" shrinkToFit="0"/>
    </x:xf>
    <x:xf numFmtId="169" fontId="9" fillId="5" borderId="2" xfId="0" applyNumberFormat="1" applyFont="1" applyFill="1" applyBorder="1" applyAlignment="1">
      <x:alignment vertical="bottom" wrapText="0" shrinkToFit="0"/>
    </x:xf>
    <x:xf numFmtId="164" fontId="6" fillId="6" borderId="2" xfId="0" applyNumberFormat="1" applyFont="1" applyFill="1" applyBorder="1" applyAlignment="1">
      <x:alignment vertical="bottom" wrapText="0" shrinkToFit="0"/>
    </x:xf>
    <x:xf numFmtId="0" fontId="5" fillId="3" borderId="2" xfId="0" applyFont="1" applyFill="1" applyBorder="1" applyAlignment="1">
      <x:alignment vertical="top" wrapText="1" shrinkToFit="0"/>
    </x:xf>
    <x:xf numFmtId="0" fontId="10" fillId="2" borderId="2" xfId="0" applyFont="1" applyFill="1" applyBorder="1" applyAlignment="1">
      <x:alignment vertical="bottom" wrapText="0" shrinkToFit="0"/>
    </x:xf>
    <x:xf numFmtId="0" fontId="6" fillId="6" borderId="2" xfId="0" applyFont="1" applyFill="1" applyBorder="1" applyAlignment="1">
      <x:alignment vertical="top" wrapText="0" shrinkToFit="0"/>
    </x:xf>
    <x:xf numFmtId="0" fontId="3" fillId="6" borderId="2" xfId="0" applyFont="1" applyFill="1" applyBorder="1" applyAlignment="1">
      <x:alignment vertical="top" wrapText="1" shrinkToFit="0"/>
    </x:xf>
    <x:xf numFmtId="0" fontId="0" fillId="0" borderId="0" xfId="0" applyNumberFormat="1" applyFont="1" applyFill="1" applyBorder="1" applyAlignment="1">
      <x:alignment vertical="bottom" wrapText="1"/>
    </x:xf>
    <x:xf numFmtId="0" fontId="5" fillId="3" borderId="2" xfId="0" applyNumberFormat="1" applyFont="1" applyFill="1" applyBorder="1" applyAlignment="1">
      <x:alignment vertical="bottom" wrapText="1"/>
    </x:xf>
    <x:xf numFmtId="0" fontId="3" fillId="0" borderId="0" xfId="0" applyNumberFormat="1" applyFont="1" applyFill="1" applyBorder="1" applyAlignment="1">
      <x:alignment vertical="bottom" wrapText="1"/>
    </x:xf>
    <x:xf numFmtId="200" fontId="0" fillId="0" borderId="0" xfId="0" applyNumberFormat="1" applyFont="1" applyFill="1" applyBorder="1" applyAlignment="1">
      <x:alignment vertical="bottom" wrapText="0"/>
    </x:xf>
    <x:xf numFmtId="201" fontId="0" fillId="0" borderId="0" xfId="0" applyNumberFormat="1" applyFont="1" applyFill="1" applyBorder="1" applyAlignment="1">
      <x:alignment vertical="bottom" wrapText="0"/>
    </x:xf>
    <x:xf numFmtId="202" fontId="0" fillId="0" borderId="0" xfId="0" applyNumberFormat="1" applyFont="1" applyFill="1" applyBorder="1" applyAlignment="1">
      <x:alignment vertical="bottom" wrapText="0"/>
    </x:xf>
    <x:xf numFmtId="0" fontId="5" fillId="3" borderId="2" xfId="0" applyNumberFormat="1" applyFont="1" applyFill="1" applyBorder="1" applyAlignment="1">
      <x:alignment horizontal="center" vertical="bottom" wrapText="1"/>
    </x:xf>
    <x:xf numFmtId="203" fontId="0" fillId="0" borderId="0" xfId="0" applyNumberFormat="1" applyFont="1" applyFill="1" applyBorder="1" applyAlignment="1">
      <x:alignment vertical="bottom" wrapText="0"/>
    </x:xf>
    <x:xf numFmtId="0" fontId="5" fillId="3" borderId="2" xfId="0" applyNumberFormat="1" applyFont="1" applyFill="1" applyBorder="1" applyAlignment="1">
      <x:alignment vertical="top" wrapText="1"/>
    </x:xf>
    <x:xf numFmtId="204" fontId="5" fillId="3" borderId="2" xfId="0" applyNumberFormat="1" applyFont="1" applyFill="1" applyBorder="1" applyAlignment="1">
      <x:alignment vertical="bottom" wrapText="0"/>
    </x:xf>
    <x:xf numFmtId="0" fontId="11" fillId="0" borderId="0" xfId="0" applyNumberFormat="1" applyFont="1" applyFill="1" applyBorder="1" applyAlignment="1">
      <x:alignment vertical="bottom" wrapText="1"/>
    </x:xf>
    <x:xf numFmtId="200" fontId="11" fillId="0" borderId="0" xfId="0" applyNumberFormat="1" applyFont="1" applyFill="1" applyBorder="1" applyAlignment="1">
      <x:alignment vertical="bottom" wrapText="0"/>
    </x:xf>
    <x:xf numFmtId="0" fontId="11" fillId="0" borderId="0" xfId="0" applyNumberFormat="1" applyFont="1" applyFill="1" applyBorder="1" applyAlignment="1">
      <x:alignment vertical="bottom" wrapText="0"/>
    </x:xf>
    <x:xf numFmtId="202" fontId="11" fillId="0" borderId="0" xfId="0" applyNumberFormat="1" applyFont="1" applyFill="1" applyBorder="1" applyAlignment="1">
      <x:alignment vertical="bottom" wrapText="0"/>
    </x:xf>
    <x:xf numFmtId="201" fontId="11" fillId="0" borderId="0" xfId="0" applyNumberFormat="1" applyFont="1" applyFill="1" applyBorder="1" applyAlignment="1">
      <x:alignment vertical="bottom" wrapText="0"/>
    </x:xf>
    <x:xf numFmtId="0" fontId="11" fillId="0" borderId="0" xfId="0" applyNumberFormat="1" applyFont="1" applyFill="1" applyBorder="1" applyAlignment="1">
      <x:alignment vertical="center" wrapText="1"/>
    </x:xf>
    <x:xf numFmtId="200" fontId="11" fillId="0" borderId="0" xfId="0" applyNumberFormat="1" applyFont="1" applyFill="1" applyBorder="1" applyAlignment="1">
      <x:alignment vertical="center" wrapText="0"/>
    </x:xf>
    <x:xf numFmtId="0" fontId="11" fillId="0" borderId="0" xfId="0" applyNumberFormat="1" applyFont="1" applyFill="1" applyBorder="1" applyAlignment="1">
      <x:alignment vertical="center" wrapText="0"/>
    </x:xf>
    <x:xf numFmtId="202" fontId="11" fillId="0" borderId="0" xfId="0" applyNumberFormat="1" applyFont="1" applyFill="1" applyBorder="1" applyAlignment="1">
      <x:alignment vertical="center" wrapText="0"/>
    </x:xf>
    <x:xf numFmtId="201" fontId="11" fillId="0" borderId="0" xfId="0" applyNumberFormat="1" applyFont="1" applyFill="1" applyBorder="1" applyAlignment="1">
      <x:alignment vertical="center" wrapText="0"/>
    </x:xf>
    <x:xf numFmtId="203" fontId="11" fillId="0" borderId="0" xfId="0" applyNumberFormat="1" applyFont="1" applyFill="1" applyBorder="1" applyAlignment="1">
      <x:alignment vertical="bottom" wrapText="0"/>
    </x:xf>
    <x:xf numFmtId="203" fontId="11" fillId="0" borderId="0" xfId="0" applyNumberFormat="1" applyFont="1" applyFill="1" applyBorder="1" applyAlignment="1">
      <x:alignment vertical="center" wrapText="0"/>
    </x:xf>
    <x:xf numFmtId="202" fontId="11" fillId="7" borderId="0" xfId="0" applyNumberFormat="1" applyFont="1" applyFill="1" applyBorder="1" applyAlignment="1">
      <x:alignment vertical="center" wrapText="0"/>
    </x:xf>
    <x:xf numFmtId="202" fontId="12" fillId="7" borderId="0" xfId="0" applyNumberFormat="1" applyFont="1" applyFill="1" applyBorder="1" applyAlignment="1">
      <x:alignment vertical="center" wrapText="0"/>
    </x:xf>
    <x:xf numFmtId="200" fontId="11" fillId="7" borderId="0" xfId="0" applyNumberFormat="1" applyFont="1" applyFill="1" applyBorder="1" applyAlignment="1">
      <x:alignment vertical="center" wrapText="0"/>
    </x:xf>
    <x:xf numFmtId="200" fontId="12" fillId="7" borderId="0" xfId="0" applyNumberFormat="1" applyFont="1" applyFill="1" applyBorder="1" applyAlignment="1">
      <x:alignment vertical="center" wrapText="0"/>
    </x:xf>
    <x:xf numFmtId="203" fontId="11" fillId="7" borderId="0" xfId="0" applyNumberFormat="1" applyFont="1" applyFill="1" applyBorder="1" applyAlignment="1">
      <x:alignment vertical="center" wrapText="0"/>
    </x:xf>
    <x:xf numFmtId="203" fontId="12" fillId="7" borderId="0" xfId="0" applyNumberFormat="1" applyFont="1" applyFill="1" applyBorder="1" applyAlignment="1">
      <x:alignment vertical="center" wrapText="0"/>
    </x:xf>
    <x:xf numFmtId="0" fontId="11" fillId="8" borderId="0" xfId="0" applyNumberFormat="1" applyFont="1" applyFill="1" applyBorder="1" applyAlignment="1">
      <x:alignment vertical="center" wrapText="1"/>
    </x:xf>
    <x:xf numFmtId="200" fontId="11" fillId="8" borderId="0" xfId="0" applyNumberFormat="1" applyFont="1" applyFill="1" applyBorder="1" applyAlignment="1">
      <x:alignment vertical="center" wrapText="0"/>
    </x:xf>
    <x:xf numFmtId="0" fontId="11" fillId="8" borderId="0" xfId="0" applyNumberFormat="1" applyFont="1" applyFill="1" applyBorder="1" applyAlignment="1">
      <x:alignment vertical="center" wrapText="0"/>
    </x:xf>
    <x:xf numFmtId="203" fontId="12" fillId="8" borderId="0" xfId="0" applyNumberFormat="1" applyFont="1" applyFill="1" applyBorder="1" applyAlignment="1">
      <x:alignment vertical="center" wrapText="0"/>
    </x:xf>
    <x:xf numFmtId="0" fontId="6" fillId="5" borderId="2" xfId="0" applyNumberFormat="1" applyFont="1" applyFill="1" applyBorder="1" applyAlignment="1">
      <x:alignment vertical="bottom" wrapText="1"/>
    </x:xf>
    <x:xf numFmtId="165" fontId="5" fillId="9" borderId="2" xfId="0" applyNumberFormat="1" applyFont="1" applyFill="1" applyBorder="1" applyAlignment="1">
      <x:alignment vertical="bottom" wrapText="0"/>
    </x:xf>
    <x:xf numFmtId="201" fontId="0" fillId="0" borderId="0" xfId="0" applyNumberFormat="1" applyFont="1" applyFill="1" applyBorder="1" applyAlignment="1">
      <x:alignment vertical="bottom" wrapText="1"/>
    </x:xf>
    <x:xf numFmtId="203" fontId="9" fillId="5" borderId="2" xfId="0" applyNumberFormat="1" applyFont="1" applyFill="1" applyBorder="1" applyAlignment="1">
      <x:alignment vertical="bottom" wrapText="0"/>
    </x:xf>
    <x:xf numFmtId="201" fontId="9" fillId="5" borderId="2" xfId="0" applyNumberFormat="1" applyFont="1" applyFill="1" applyBorder="1" applyAlignment="1">
      <x:alignment vertical="bottom" wrapText="0"/>
    </x:xf>
    <x:xf numFmtId="0" fontId="6" fillId="0" borderId="0" xfId="0" applyNumberFormat="1" applyFont="1" applyFill="1" applyBorder="1" applyAlignment="1">
      <x:alignment vertical="bottom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746168b069040e0" /><Relationship Type="http://schemas.openxmlformats.org/officeDocument/2006/relationships/theme" Target="/xl/theme/theme1.xml" Id="R2de7c8f8a9854a09" /><Relationship Type="http://schemas.openxmlformats.org/officeDocument/2006/relationships/sharedStrings" Target="/xl/sharedStrings.xml" Id="R1db0eb0437784ad3" /><Relationship Type="http://schemas.openxmlformats.org/officeDocument/2006/relationships/worksheet" Target="/xl/worksheets/sheet1.xml" Id="R024328c29fd54ccc" /><Relationship Type="http://schemas.openxmlformats.org/officeDocument/2006/relationships/worksheet" Target="/xl/worksheets/sheet2.xml" Id="Rcda9c1f82f01464f" /><Relationship Type="http://schemas.openxmlformats.org/officeDocument/2006/relationships/worksheet" Target="/xl/worksheets/sheet3.xml" Id="R3c79781e9c394081" /><Relationship Type="http://schemas.openxmlformats.org/officeDocument/2006/relationships/worksheet" Target="/xl/worksheets/sheet4.xml" Id="R15df6595dde641b7" /><Relationship Type="http://schemas.openxmlformats.org/officeDocument/2006/relationships/worksheet" Target="/xl/worksheets/sheet5.xml" Id="Rd58c776769b547ae" /><Relationship Type="http://schemas.openxmlformats.org/officeDocument/2006/relationships/worksheet" Target="/xl/worksheets/sheet6.xml" Id="R6a59f9b957fc45cf" /><Relationship Type="http://schemas.openxmlformats.org/officeDocument/2006/relationships/worksheet" Target="/xl/worksheets/sheet7.xml" Id="R7ff5e32b1a8a4b76" 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Sheets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comments" Target="/xl/comments1.xml" Id="R08b2c7179b814b91" /><Relationship Type="http://schemas.openxmlformats.org/officeDocument/2006/relationships/vmlDrawing" Target="/xl/drawings/vmldrawing.vml" Id="R41d8104868f54d89" /></Relationships>
</file>

<file path=xl/worksheets/sheet1.xml><?xml version="1.0" encoding="utf-8"?>
<x:worksheet xmlns:x="http://schemas.openxmlformats.org/spreadsheetml/2006/main">
  <x:sheetFormatPr defaultColWidth="14.430000305175781" defaultRowHeight="15"/>
  <x:cols>
    <x:col min="1" max="1" width="52" customWidth="1"/>
    <x:col min="2" max="2" width="62" customWidth="1"/>
    <x:col min="3" max="8" width="15" customWidth="1"/>
    <x:col min="9" max="26" width="8.710000038146973" customWidth="1"/>
  </x:cols>
  <x:sheetData>
    <x:row r="1" ht="24" customHeight="1">
      <x:c r="A1" s="1" t="str">
        <x:v>DAY 22 — AI NOTES MONETIZATION MODEL</x:v>
      </x:c>
      <x:c r="B1" s="2"/>
      <x:c r="C1" s="2"/>
      <x:c r="D1" s="2"/>
      <x:c r="E1" s="2"/>
      <x:c r="F1" s="2"/>
      <x:c r="G1" s="2"/>
      <x:c r="H1" s="2"/>
    </x:row>
    <x:row r="2">
      <x:c r="A2" s="3" t="str">
        <x:v>Trần Vũ Gia Huy · 2A202602705 · Kiểm tra giá 12/10/2026</x:v>
      </x:c>
    </x:row>
    <x:row r="4">
      <x:c r="A4" s="4" t="s">
        <x:v>0</x:v>
      </x:c>
    </x:row>
    <x:row r="5">
      <x:c r="A5" s="5" t="s">
        <x:v>1</x:v>
      </x:c>
      <x:c r="B5" s="6" t="s">
        <x:v>2</x:v>
      </x:c>
    </x:row>
    <x:row r="6">
      <x:c r="A6" s="8" t="s">
        <x:v>3</x:v>
      </x:c>
      <x:c r="B6" s="6" t="s">
        <x:v>4</x:v>
      </x:c>
    </x:row>
    <x:row r="7">
      <x:c r="A7" s="9" t="s">
        <x:v>5</x:v>
      </x:c>
      <x:c r="B7" s="6" t="s">
        <x:v>6</x:v>
      </x:c>
    </x:row>
    <x:row r="8">
      <x:c r="A8" s="11" t="s">
        <x:v>7</x:v>
      </x:c>
      <x:c r="B8" s="6" t="s">
        <x:v>8</x:v>
      </x:c>
    </x:row>
    <x:row r="10">
      <x:c r="A10" s="4" t="s">
        <x:v>9</x:v>
      </x:c>
    </x:row>
    <x:row r="11">
      <x:c r="A11" s="12" t="s">
        <x:v>10</x:v>
      </x:c>
      <x:c r="B11" s="6" t="s">
        <x:v>11</x:v>
      </x:c>
    </x:row>
    <x:row r="12">
      <x:c r="A12" s="12" t="s">
        <x:v>12</x:v>
      </x:c>
      <x:c r="B12" s="6" t="s">
        <x:v>13</x:v>
      </x:c>
    </x:row>
    <x:row r="13">
      <x:c r="A13" s="12" t="s">
        <x:v>14</x:v>
      </x:c>
      <x:c r="B13" s="6" t="s">
        <x:v>15</x:v>
      </x:c>
    </x:row>
    <x:row r="14">
      <x:c r="A14" s="12" t="s">
        <x:v>16</x:v>
      </x:c>
      <x:c r="B14" s="6" t="s">
        <x:v>17</x:v>
      </x:c>
    </x:row>
    <x:row r="15">
      <x:c r="A15" s="12" t="s">
        <x:v>18</x:v>
      </x:c>
      <x:c r="B15" s="6" t="s">
        <x:v>19</x:v>
      </x:c>
    </x:row>
    <x:row r="16">
      <x:c r="A16" s="12" t="s">
        <x:v>20</x:v>
      </x:c>
      <x:c r="B16" s="6" t="s">
        <x:v>21</x:v>
      </x:c>
    </x:row>
    <x:row r="18">
      <x:c r="A18" s="4" t="s">
        <x:v>22</x:v>
      </x:c>
    </x:row>
    <x:row r="19">
      <x:c r="A19" s="6" t="s">
        <x:v>23</x:v>
      </x:c>
    </x:row>
    <x:row r="20">
      <x:c r="A20" s="6" t="s">
        <x:v>24</x:v>
      </x:c>
    </x:row>
    <x:row r="21" ht="15.75" customHeight="1">
      <x:c r="A21" s="6" t="s">
        <x:v>25</x:v>
      </x:c>
    </x:row>
    <x:row r="22" ht="15.75" customHeight="1"/>
    <x:row r="23" ht="15.75" customHeight="1">
      <x:c r="A23" s="3" t="str">
        <x:v>Giữ 7 tab mẫu. Chỉnh công thức liên kết giá gói/anchor, payback Prosumer và guard khi không có completed job.</x:v>
      </x:c>
    </x:row>
    <x:row r="24" ht="15.75" customHeight="1">
      <x:c r="A24" s="3" t="str">
        <x:v>Giá tham chiếu cũ không dùng cho quyết định. Nguồn đang dùng và giả định ở cuối tab 6.</x:v>
      </x:c>
    </x:row>
    <x:row r="25" ht="15.75" customHeight="1"/>
    <x:row r="26" ht="15.75" customHeight="1">
      <x:c r="A26" s="73" t="str">
        <x:v>PHẠM VI VÀ BẰNG CHỨNG</x:v>
      </x:c>
      <x:c r="B26" s="73"/>
    </x:row>
    <x:row r="27" ht="44" customHeight="1">
      <x:c r="A27" s="60" t="str">
        <x:v>Sản phẩm</x:v>
      </x:c>
      <x:c r="B27" s="60" t="str">
        <x:v>AI Notes Option B: người học chọn evidence, AI tổ chức, người học duyệt rồi lưu.</x:v>
      </x:c>
    </x:row>
    <x:row r="28" ht="44" customHeight="1">
      <x:c r="A28" s="60" t="str">
        <x:v>Dữ liệu thật</x:v>
      </x:c>
      <x:c r="B28" s="60" t="str">
        <x:v>2/2 tester thích B. Chưa có eval AI, pilot trả tiền, WTP hoặc đo tiết kiệm thời gian.</x:v>
      </x:c>
    </x:row>
    <x:row r="29" ht="44" customHeight="1">
      <x:c r="A29" s="60" t="str">
        <x:v>R dùng trong công thức</x:v>
      </x:c>
      <x:c r="B29" s="60" t="str">
        <x:v>Tỷ lệ note được duyệt và lưu / lượt thử. Đây là hoàn thành có người, không phải AI tự chủ.</x:v>
      </x:c>
    </x:row>
    <x:row r="30" ht="44" customHeight="1">
      <x:c r="A30" s="60" t="str">
        <x:v>70% là gì</x:v>
      </x:c>
      <x:c r="B30" s="60" t="str">
        <x:v>Giả định kế hoạch. Không được dùng như kết quả eval hoặc cam kết sản phẩm.</x:v>
      </x:c>
    </x:row>
    <x:row r="31" ht="44" customHeight="1">
      <x:c r="A31" s="60" t="str">
        <x:v>Ngày và đơn vị</x:v>
      </x:c>
      <x:c r="B31" s="60" t="str">
        <x:v>12/10/2026; USD trước thuế. VCB USD bán 26.070 VND, bản XML 09:20 12/10/2026.</x:v>
      </x:c>
    </x:row>
    <x:row r="32" ht="44" customHeight="1">
      <x:c r="A32" s="60" t="str">
        <x:v>Tính giá gói</x:v>
      </x:c>
      <x:c r="B32" s="60" t="str">
        <x:v>8 USD/tháng gồm 12 note đã lưu, lưu nguồn và export. Không thu thêm đơn giá note từ note đầu.</x:v>
      </x:c>
    </x:row>
    <x:row r="33" ht="44" customHeight="1">
      <x:c r="A33" s="60" t="str">
        <x:v>Giới hạn chi phí</x:v>
      </x:c>
      <x:c r="B33" s="60" t="str">
        <x:v>22 lượt thử/gói × 2 calls, thêm tối đa 3 retry toàn job/gói = tối đa 50 calls. Mỗi call ≤2.400 input, 800 output.</x:v>
      </x:c>
    </x:row>
    <x:row r="34" ht="44" customHeight="1">
      <x:c r="A34" s="60" t="str">
        <x:v>HITL A</x:v>
      </x:c>
      <x:c r="B34" s="60" t="str">
        <x:v>Learner tự sửa/duyệt. Provider QA + support workflow, không viết lại từng note.</x:v>
      </x:c>
    </x:row>
    <x:row r="35" ht="44" customHeight="1">
      <x:c r="A35" s="60" t="str">
        <x:v>GM và overhead</x:v>
      </x:c>
      <x:c r="B35" s="60" t="str">
        <x:v>GM chuẩn tính QA, support và infra trực tiếp. Margin sau overhead hiển thị riêng.</x:v>
      </x:c>
    </x:row>
    <x:row r="36" ht="44" customHeight="1">
      <x:c r="A36" s="60" t="str">
        <x:v>Kiểm tra người lạ</x:v>
      </x:c>
      <x:c r="B36" s="60" t="str">
        <x:v>Chưa thực hiện với người thật. Các ô tab 5 ghi Chưa kiểm tra; không bịa số câu hỏi.</x:v>
      </x:c>
    </x:row>
    <x:row r="37" ht="44" customHeight="1">
      <x:c r="A37" s="60" t="str">
        <x:v>Chỉnh mẫu cần thiết</x:v>
      </x:c>
      <x:c r="B37" s="60" t="str">
        <x:v>Đổi nhãn containment thành R hoàn thành có người; sửa tiêu đề Day28; bổ sung nguồn và ngưỡng rủi ro.</x:v>
      </x:c>
    </x:row>
    <x:row r="38" ht="44" customHeight="1">
      <x:c r="A38" s="60" t="str">
        <x:v>Phân khúc</x:v>
      </x:c>
      <x:c r="B38" s="60" t="str">
        <x:v>Prosumer, không phải SMB. Payback mục tiêu 3 tháng là giả định chặt hơn mốc 12 tháng của bài.</x:v>
      </x:c>
    </x:row>
    <x:row r="39" ht="44" customHeight="1">
      <x:c r="A39" s="60" t="str">
        <x:v>Cách cập nhật</x:v>
      </x:c>
      <x:c r="B39" s="60" t="str">
        <x:v>Thay ô vàng khi có log/token/pilot mới; các ô xám tự tính. Xem evidence và critique-log.md.</x:v>
      </x:c>
    </x:row>
    <x:row r="40" ht="15.75" customHeight="1"/>
    <x:row r="41" ht="15.75" customHeight="1"/>
    <x:row r="42" ht="15.75" customHeight="1"/>
    <x:row r="43" ht="15.75" customHeight="1"/>
    <x:row r="44" ht="15.75" customHeight="1"/>
    <x:row r="45" ht="15.75" customHeight="1"/>
    <x:row r="46" ht="15.75" customHeight="1"/>
    <x:row r="47" ht="15.75" customHeight="1"/>
    <x:row r="48" ht="15.75" customHeight="1"/>
    <x:row r="49" ht="15.75" customHeight="1"/>
    <x:row r="50" ht="15.75" customHeight="1"/>
    <x:row r="51" ht="15.75" customHeight="1"/>
    <x:row r="52" ht="15.75" customHeight="1"/>
    <x:row r="53" ht="15.75" customHeight="1"/>
    <x:row r="54" ht="15.75" customHeight="1"/>
    <x:row r="55" ht="15.75" customHeight="1"/>
    <x:row r="56" ht="15.75" customHeight="1"/>
    <x:row r="57" ht="15.75" customHeight="1"/>
    <x:row r="58" ht="15.75" customHeight="1"/>
    <x:row r="59" ht="15.75" customHeight="1"/>
    <x:row r="60" ht="15.75" customHeight="1"/>
    <x:row r="61" ht="15.75" customHeight="1"/>
    <x:row r="62" ht="15.75" customHeight="1"/>
    <x:row r="63" ht="15.75" customHeight="1"/>
    <x:row r="64" ht="15.75" customHeight="1"/>
    <x:row r="65" ht="15.75" customHeight="1"/>
    <x:row r="66" ht="15.75" customHeight="1"/>
    <x:row r="67" ht="15.75" customHeight="1"/>
    <x:row r="68" ht="15.75" customHeight="1"/>
    <x:row r="69" ht="15.75" customHeight="1"/>
    <x:row r="70" ht="15.75" customHeight="1"/>
    <x:row r="71" ht="15.75" customHeight="1"/>
    <x:row r="72" ht="15.75" customHeight="1"/>
    <x:row r="73" ht="15.75" customHeight="1"/>
    <x:row r="74" ht="15.75" customHeight="1"/>
    <x:row r="75" ht="15.75" customHeight="1"/>
    <x:row r="76" ht="15.75" customHeight="1"/>
    <x:row r="77" ht="15.75" customHeight="1"/>
    <x:row r="78" ht="15.75" customHeight="1"/>
    <x:row r="79" ht="15.75" customHeight="1"/>
    <x:row r="80" ht="15.75" customHeight="1"/>
    <x:row r="81" ht="15.75" customHeight="1"/>
    <x:row r="82" ht="15.75" customHeight="1"/>
    <x:row r="83" ht="15.75" customHeight="1"/>
    <x:row r="84" ht="15.75" customHeight="1"/>
    <x:row r="85" ht="15.75" customHeight="1"/>
    <x:row r="86" ht="15.75" customHeight="1"/>
    <x:row r="87" ht="15.75" customHeight="1"/>
    <x:row r="88" ht="15.75" customHeight="1"/>
    <x:row r="89" ht="15.75" customHeight="1"/>
    <x:row r="90" ht="15.75" customHeight="1"/>
    <x:row r="91" ht="15.75" customHeight="1"/>
    <x:row r="92" ht="15.75" customHeight="1"/>
    <x:row r="93" ht="15.75" customHeight="1"/>
    <x:row r="94" ht="15.75" customHeight="1"/>
    <x:row r="95" ht="15.75" customHeight="1"/>
    <x:row r="96" ht="15.75" customHeight="1"/>
    <x:row r="97" ht="15.75" customHeight="1"/>
    <x:row r="98" ht="15.75" customHeight="1"/>
    <x:row r="99" ht="15.75" customHeight="1"/>
    <x:row r="100" ht="15.75" customHeight="1"/>
    <x:row r="101" ht="15.75" customHeight="1"/>
    <x:row r="102" ht="15.75" customHeight="1"/>
    <x:row r="103" ht="15.75" customHeight="1"/>
    <x:row r="104" ht="15.75" customHeight="1"/>
    <x:row r="105" ht="15.75" customHeight="1"/>
    <x:row r="106" ht="15.75" customHeight="1"/>
    <x:row r="107" ht="15.75" customHeight="1"/>
    <x:row r="108" ht="15.75" customHeight="1"/>
    <x:row r="109" ht="15.75" customHeight="1"/>
    <x:row r="110" ht="15.75" customHeight="1"/>
    <x:row r="111" ht="15.75" customHeight="1"/>
    <x:row r="112" ht="15.75" customHeight="1"/>
    <x:row r="113" ht="15.75" customHeight="1"/>
    <x:row r="114" ht="15.75" customHeight="1"/>
    <x:row r="115" ht="15.75" customHeight="1"/>
    <x:row r="116" ht="15.75" customHeight="1"/>
    <x:row r="117" ht="15.75" customHeight="1"/>
    <x:row r="118" ht="15.75" customHeight="1"/>
    <x:row r="119" ht="15.75" customHeight="1"/>
    <x:row r="120" ht="15.75" customHeight="1"/>
    <x:row r="121" ht="15.75" customHeight="1"/>
    <x:row r="122" ht="15.75" customHeight="1"/>
    <x:row r="123" ht="15.75" customHeight="1"/>
    <x:row r="124" ht="15.75" customHeight="1"/>
    <x:row r="125" ht="15.75" customHeight="1"/>
    <x:row r="126" ht="15.75" customHeight="1"/>
    <x:row r="127" ht="15.75" customHeight="1"/>
    <x:row r="128" ht="15.75" customHeight="1"/>
    <x:row r="129" ht="15.75" customHeight="1"/>
    <x:row r="130" ht="15.75" customHeight="1"/>
    <x:row r="131" ht="15.75" customHeight="1"/>
    <x:row r="132" ht="15.75" customHeight="1"/>
    <x:row r="133" ht="15.75" customHeight="1"/>
    <x:row r="134" ht="15.75" customHeight="1"/>
    <x:row r="135" ht="15.75" customHeight="1"/>
    <x:row r="136" ht="15.75" customHeight="1"/>
    <x:row r="137" ht="15.75" customHeight="1"/>
    <x:row r="138" ht="15.75" customHeight="1"/>
    <x:row r="139" ht="15.75" customHeight="1"/>
    <x:row r="140" ht="15.75" customHeight="1"/>
    <x:row r="141" ht="15.75" customHeight="1"/>
    <x:row r="142" ht="15.75" customHeight="1"/>
    <x:row r="143" ht="15.75" customHeight="1"/>
    <x:row r="144" ht="15.75" customHeight="1"/>
    <x:row r="145" ht="15.75" customHeight="1"/>
    <x:row r="146" ht="15.75" customHeight="1"/>
    <x:row r="147" ht="15.75" customHeight="1"/>
    <x:row r="148" ht="15.75" customHeight="1"/>
    <x:row r="149" ht="15.75" customHeight="1"/>
    <x:row r="150" ht="15.75" customHeight="1"/>
    <x:row r="151" ht="15.75" customHeight="1"/>
    <x:row r="152" ht="15.75" customHeight="1"/>
    <x:row r="153" ht="15.75" customHeight="1"/>
    <x:row r="154" ht="15.75" customHeight="1"/>
    <x:row r="155" ht="15.75" customHeight="1"/>
    <x:row r="156" ht="15.75" customHeight="1"/>
    <x:row r="157" ht="15.75" customHeight="1"/>
    <x:row r="158" ht="15.75" customHeight="1"/>
    <x:row r="159" ht="15.75" customHeight="1"/>
    <x:row r="160" ht="15.75" customHeight="1"/>
    <x:row r="161" ht="15.75" customHeight="1"/>
    <x:row r="162" ht="15.75" customHeight="1"/>
    <x:row r="163" ht="15.75" customHeight="1"/>
    <x:row r="164" ht="15.75" customHeight="1"/>
    <x:row r="165" ht="15.75" customHeight="1"/>
    <x:row r="166" ht="15.75" customHeight="1"/>
    <x:row r="167" ht="15.75" customHeight="1"/>
    <x:row r="168" ht="15.75" customHeight="1"/>
    <x:row r="169" ht="15.75" customHeight="1"/>
    <x:row r="170" ht="15.75" customHeight="1"/>
    <x:row r="171" ht="15.75" customHeight="1"/>
    <x:row r="172" ht="15.75" customHeight="1"/>
    <x:row r="173" ht="15.75" customHeight="1"/>
    <x:row r="174" ht="15.75" customHeight="1"/>
    <x:row r="175" ht="15.75" customHeight="1"/>
    <x:row r="176" ht="15.75" customHeight="1"/>
    <x:row r="177" ht="15.75" customHeight="1"/>
    <x:row r="178" ht="15.75" customHeight="1"/>
    <x:row r="179" ht="15.75" customHeight="1"/>
    <x:row r="180" ht="15.75" customHeight="1"/>
    <x:row r="181" ht="15.75" customHeight="1"/>
    <x:row r="182" ht="15.75" customHeight="1"/>
    <x:row r="183" ht="15.75" customHeight="1"/>
    <x:row r="184" ht="15.75" customHeight="1"/>
    <x:row r="185" ht="15.75" customHeight="1"/>
    <x:row r="186" ht="15.75" customHeight="1"/>
    <x:row r="187" ht="15.75" customHeight="1"/>
    <x:row r="188" ht="15.75" customHeight="1"/>
    <x:row r="189" ht="15.75" customHeight="1"/>
    <x:row r="190" ht="15.75" customHeight="1"/>
    <x:row r="191" ht="15.75" customHeight="1"/>
    <x:row r="192" ht="15.75" customHeight="1"/>
    <x:row r="193" ht="15.75" customHeight="1"/>
    <x:row r="194" ht="15.75" customHeight="1"/>
    <x:row r="195" ht="15.75" customHeight="1"/>
    <x:row r="196" ht="15.75" customHeight="1"/>
    <x:row r="197" ht="15.75" customHeight="1"/>
    <x:row r="198" ht="15.75" customHeight="1"/>
    <x:row r="199" ht="15.75" customHeight="1"/>
    <x:row r="200" ht="15.75" customHeight="1"/>
    <x:row r="201" ht="15.75" customHeight="1"/>
    <x:row r="202" ht="15.75" customHeight="1"/>
    <x:row r="203" ht="15.75" customHeight="1"/>
    <x:row r="204" ht="15.75" customHeight="1"/>
    <x:row r="205" ht="15.75" customHeight="1"/>
    <x:row r="206" ht="15.75" customHeight="1"/>
    <x:row r="207" ht="15.75" customHeight="1"/>
    <x:row r="208" ht="15.75" customHeight="1"/>
    <x:row r="209" ht="15.75" customHeight="1"/>
    <x:row r="210" ht="15.75" customHeight="1"/>
    <x:row r="211" ht="15.75" customHeight="1"/>
    <x:row r="212" ht="15.75" customHeight="1"/>
    <x:row r="213" ht="15.75" customHeight="1"/>
    <x:row r="214" ht="15.75" customHeight="1"/>
    <x:row r="215" ht="15.75" customHeight="1"/>
    <x:row r="216" ht="15.75" customHeight="1"/>
    <x:row r="217" ht="15.75" customHeight="1"/>
    <x:row r="218" ht="15.75" customHeight="1"/>
    <x:row r="219" ht="15.75" customHeight="1"/>
    <x:row r="220" ht="15.75" customHeight="1"/>
    <x:row r="221" ht="15.75" customHeight="1"/>
    <x:row r="222" ht="15.75" customHeight="1"/>
    <x:row r="223" ht="15.75" customHeight="1"/>
    <x:row r="224" ht="15.75" customHeight="1"/>
    <x:row r="225" ht="15.75" customHeight="1"/>
    <x:row r="226" ht="15.75" customHeight="1"/>
    <x:row r="227" ht="15.75" customHeight="1"/>
    <x:row r="228" ht="15.75" customHeight="1"/>
    <x:row r="229" ht="15.75" customHeight="1"/>
    <x:row r="230" ht="15.75" customHeight="1"/>
    <x:row r="231" ht="15.75" customHeight="1"/>
    <x:row r="232" ht="15.75" customHeight="1"/>
    <x:row r="233" ht="15.75" customHeight="1"/>
    <x:row r="234" ht="15.75" customHeight="1"/>
    <x:row r="235" ht="15.75" customHeight="1"/>
    <x:row r="236" ht="15.75" customHeight="1"/>
    <x:row r="237" ht="15.75" customHeight="1"/>
    <x:row r="238" ht="15.75" customHeight="1"/>
    <x:row r="239" ht="15.75" customHeight="1"/>
    <x:row r="240" ht="15.75" customHeight="1"/>
    <x:row r="241" ht="15.75" customHeight="1"/>
    <x:row r="242" ht="15.75" customHeight="1"/>
    <x:row r="243" ht="15.75" customHeight="1"/>
    <x:row r="244" ht="15.75" customHeight="1"/>
    <x:row r="245" ht="15.75" customHeight="1"/>
    <x:row r="246" ht="15.75" customHeight="1"/>
    <x:row r="247" ht="15.75" customHeight="1"/>
    <x:row r="248" ht="15.75" customHeight="1"/>
    <x:row r="249" ht="15.75" customHeight="1"/>
    <x:row r="250" ht="15.75" customHeight="1"/>
    <x:row r="251" ht="15.75" customHeight="1"/>
    <x:row r="252" ht="15.75" customHeight="1"/>
    <x:row r="253" ht="15.75" customHeight="1"/>
    <x:row r="254" ht="15.75" customHeight="1"/>
    <x:row r="255" ht="15.75" customHeight="1"/>
    <x:row r="256" ht="15.75" customHeight="1"/>
    <x:row r="257" ht="15.75" customHeight="1"/>
    <x:row r="258" ht="15.75" customHeight="1"/>
    <x:row r="259" ht="15.75" customHeight="1"/>
    <x:row r="260" ht="15.75" customHeight="1"/>
    <x:row r="261" ht="15.75" customHeight="1"/>
    <x:row r="262" ht="15.75" customHeight="1"/>
    <x:row r="263" ht="15.75" customHeight="1"/>
    <x:row r="264" ht="15.75" customHeight="1"/>
    <x:row r="265" ht="15.75" customHeight="1"/>
    <x:row r="266" ht="15.75" customHeight="1"/>
    <x:row r="267" ht="15.75" customHeight="1"/>
    <x:row r="268" ht="15.75" customHeight="1"/>
    <x:row r="269" ht="15.75" customHeight="1"/>
    <x:row r="270" ht="15.75" customHeight="1"/>
    <x:row r="271" ht="15.75" customHeight="1"/>
    <x:row r="272" ht="15.75" customHeight="1"/>
    <x:row r="273" ht="15.75" customHeight="1"/>
    <x:row r="274" ht="15.75" customHeight="1"/>
    <x:row r="275" ht="15.75" customHeight="1"/>
    <x:row r="276" ht="15.75" customHeight="1"/>
    <x:row r="277" ht="15.75" customHeight="1"/>
    <x:row r="278" ht="15.75" customHeight="1"/>
    <x:row r="279" ht="15.75" customHeight="1"/>
    <x:row r="280" ht="15.75" customHeight="1"/>
    <x:row r="281" ht="15.75" customHeight="1"/>
    <x:row r="282" ht="15.75" customHeight="1"/>
    <x:row r="283" ht="15.75" customHeight="1"/>
    <x:row r="284" ht="15.75" customHeight="1"/>
    <x:row r="285" ht="15.75" customHeight="1"/>
    <x:row r="286" ht="15.75" customHeight="1"/>
    <x:row r="287" ht="15.75" customHeight="1"/>
    <x:row r="288" ht="15.75" customHeight="1"/>
    <x:row r="289" ht="15.75" customHeight="1"/>
    <x:row r="290" ht="15.75" customHeight="1"/>
    <x:row r="291" ht="15.75" customHeight="1"/>
    <x:row r="292" ht="15.75" customHeight="1"/>
    <x:row r="293" ht="15.75" customHeight="1"/>
    <x:row r="294" ht="15.75" customHeight="1"/>
    <x:row r="295" ht="15.75" customHeight="1"/>
    <x:row r="296" ht="15.75" customHeight="1"/>
    <x:row r="297" ht="15.75" customHeight="1"/>
    <x:row r="298" ht="15.75" customHeight="1"/>
    <x:row r="299" ht="15.75" customHeight="1"/>
    <x:row r="300" ht="15.75" customHeight="1"/>
    <x:row r="301" ht="15.75" customHeight="1"/>
    <x:row r="302" ht="15.75" customHeight="1"/>
    <x:row r="303" ht="15.75" customHeight="1"/>
    <x:row r="304" ht="15.75" customHeight="1"/>
    <x:row r="305" ht="15.75" customHeight="1"/>
    <x:row r="306" ht="15.75" customHeight="1"/>
    <x:row r="307" ht="15.75" customHeight="1"/>
    <x:row r="308" ht="15.75" customHeight="1"/>
    <x:row r="309" ht="15.75" customHeight="1"/>
    <x:row r="310" ht="15.75" customHeight="1"/>
    <x:row r="311" ht="15.75" customHeight="1"/>
    <x:row r="312" ht="15.75" customHeight="1"/>
    <x:row r="313" ht="15.75" customHeight="1"/>
    <x:row r="314" ht="15.75" customHeight="1"/>
    <x:row r="315" ht="15.75" customHeight="1"/>
    <x:row r="316" ht="15.75" customHeight="1"/>
    <x:row r="317" ht="15.75" customHeight="1"/>
    <x:row r="318" ht="15.75" customHeight="1"/>
    <x:row r="319" ht="15.75" customHeight="1"/>
    <x:row r="320" ht="15.75" customHeight="1"/>
    <x:row r="321" ht="15.75" customHeight="1"/>
    <x:row r="322" ht="15.75" customHeight="1"/>
    <x:row r="323" ht="15.75" customHeight="1"/>
    <x:row r="324" ht="15.75" customHeight="1"/>
    <x:row r="325" ht="15.75" customHeight="1"/>
    <x:row r="326" ht="15.75" customHeight="1"/>
    <x:row r="327" ht="15.75" customHeight="1"/>
    <x:row r="328" ht="15.75" customHeight="1"/>
    <x:row r="329" ht="15.75" customHeight="1"/>
    <x:row r="330" ht="15.75" customHeight="1"/>
    <x:row r="331" ht="15.75" customHeight="1"/>
    <x:row r="332" ht="15.75" customHeight="1"/>
    <x:row r="333" ht="15.75" customHeight="1"/>
    <x:row r="334" ht="15.75" customHeight="1"/>
    <x:row r="335" ht="15.75" customHeight="1"/>
    <x:row r="336" ht="15.75" customHeight="1"/>
    <x:row r="337" ht="15.75" customHeight="1"/>
    <x:row r="338" ht="15.75" customHeight="1"/>
    <x:row r="339" ht="15.75" customHeight="1"/>
    <x:row r="340" ht="15.75" customHeight="1"/>
    <x:row r="341" ht="15.75" customHeight="1"/>
    <x:row r="342" ht="15.75" customHeight="1"/>
    <x:row r="343" ht="15.75" customHeight="1"/>
    <x:row r="344" ht="15.75" customHeight="1"/>
    <x:row r="345" ht="15.75" customHeight="1"/>
    <x:row r="346" ht="15.75" customHeight="1"/>
    <x:row r="347" ht="15.75" customHeight="1"/>
    <x:row r="348" ht="15.75" customHeight="1"/>
    <x:row r="349" ht="15.75" customHeight="1"/>
    <x:row r="350" ht="15.75" customHeight="1"/>
    <x:row r="351" ht="15.75" customHeight="1"/>
    <x:row r="352" ht="15.75" customHeight="1"/>
    <x:row r="353" ht="15.75" customHeight="1"/>
    <x:row r="354" ht="15.75" customHeight="1"/>
    <x:row r="355" ht="15.75" customHeight="1"/>
    <x:row r="356" ht="15.75" customHeight="1"/>
    <x:row r="357" ht="15.75" customHeight="1"/>
    <x:row r="358" ht="15.75" customHeight="1"/>
    <x:row r="359" ht="15.75" customHeight="1"/>
    <x:row r="360" ht="15.75" customHeight="1"/>
    <x:row r="361" ht="15.75" customHeight="1"/>
    <x:row r="362" ht="15.75" customHeight="1"/>
    <x:row r="363" ht="15.75" customHeight="1"/>
    <x:row r="364" ht="15.75" customHeight="1"/>
    <x:row r="365" ht="15.75" customHeight="1"/>
    <x:row r="366" ht="15.75" customHeight="1"/>
    <x:row r="367" ht="15.75" customHeight="1"/>
    <x:row r="368" ht="15.75" customHeight="1"/>
    <x:row r="369" ht="15.75" customHeight="1"/>
    <x:row r="370" ht="15.75" customHeight="1"/>
    <x:row r="371" ht="15.75" customHeight="1"/>
    <x:row r="372" ht="15.75" customHeight="1"/>
    <x:row r="373" ht="15.75" customHeight="1"/>
    <x:row r="374" ht="15.75" customHeight="1"/>
    <x:row r="375" ht="15.75" customHeight="1"/>
    <x:row r="376" ht="15.75" customHeight="1"/>
    <x:row r="377" ht="15.75" customHeight="1"/>
    <x:row r="378" ht="15.75" customHeight="1"/>
    <x:row r="379" ht="15.75" customHeight="1"/>
    <x:row r="380" ht="15.75" customHeight="1"/>
    <x:row r="381" ht="15.75" customHeight="1"/>
    <x:row r="382" ht="15.75" customHeight="1"/>
    <x:row r="383" ht="15.75" customHeight="1"/>
    <x:row r="384" ht="15.75" customHeight="1"/>
    <x:row r="385" ht="15.75" customHeight="1"/>
    <x:row r="386" ht="15.75" customHeight="1"/>
    <x:row r="387" ht="15.75" customHeight="1"/>
    <x:row r="388" ht="15.75" customHeight="1"/>
    <x:row r="389" ht="15.75" customHeight="1"/>
    <x:row r="390" ht="15.75" customHeight="1"/>
    <x:row r="391" ht="15.75" customHeight="1"/>
    <x:row r="392" ht="15.75" customHeight="1"/>
    <x:row r="393" ht="15.75" customHeight="1"/>
    <x:row r="394" ht="15.75" customHeight="1"/>
    <x:row r="395" ht="15.75" customHeight="1"/>
    <x:row r="396" ht="15.75" customHeight="1"/>
    <x:row r="397" ht="15.75" customHeight="1"/>
    <x:row r="398" ht="15.75" customHeight="1"/>
    <x:row r="399" ht="15.75" customHeight="1"/>
    <x:row r="400" ht="15.75" customHeight="1"/>
    <x:row r="401" ht="15.75" customHeight="1"/>
    <x:row r="402" ht="15.75" customHeight="1"/>
    <x:row r="403" ht="15.75" customHeight="1"/>
    <x:row r="404" ht="15.75" customHeight="1"/>
    <x:row r="405" ht="15.75" customHeight="1"/>
    <x:row r="406" ht="15.75" customHeight="1"/>
    <x:row r="407" ht="15.75" customHeight="1"/>
    <x:row r="408" ht="15.75" customHeight="1"/>
    <x:row r="409" ht="15.75" customHeight="1"/>
    <x:row r="410" ht="15.75" customHeight="1"/>
    <x:row r="411" ht="15.75" customHeight="1"/>
    <x:row r="412" ht="15.75" customHeight="1"/>
    <x:row r="413" ht="15.75" customHeight="1"/>
    <x:row r="414" ht="15.75" customHeight="1"/>
    <x:row r="415" ht="15.75" customHeight="1"/>
    <x:row r="416" ht="15.75" customHeight="1"/>
    <x:row r="417" ht="15.75" customHeight="1"/>
    <x:row r="418" ht="15.75" customHeight="1"/>
    <x:row r="419" ht="15.75" customHeight="1"/>
    <x:row r="420" ht="15.75" customHeight="1"/>
    <x:row r="421" ht="15.75" customHeight="1"/>
    <x:row r="422" ht="15.75" customHeight="1"/>
    <x:row r="423" ht="15.75" customHeight="1"/>
    <x:row r="424" ht="15.75" customHeight="1"/>
    <x:row r="425" ht="15.75" customHeight="1"/>
    <x:row r="426" ht="15.75" customHeight="1"/>
    <x:row r="427" ht="15.75" customHeight="1"/>
    <x:row r="428" ht="15.75" customHeight="1"/>
    <x:row r="429" ht="15.75" customHeight="1"/>
    <x:row r="430" ht="15.75" customHeight="1"/>
    <x:row r="431" ht="15.75" customHeight="1"/>
    <x:row r="432" ht="15.75" customHeight="1"/>
    <x:row r="433" ht="15.75" customHeight="1"/>
    <x:row r="434" ht="15.75" customHeight="1"/>
    <x:row r="435" ht="15.75" customHeight="1"/>
    <x:row r="436" ht="15.75" customHeight="1"/>
    <x:row r="437" ht="15.75" customHeight="1"/>
    <x:row r="438" ht="15.75" customHeight="1"/>
    <x:row r="439" ht="15.75" customHeight="1"/>
    <x:row r="440" ht="15.75" customHeight="1"/>
    <x:row r="441" ht="15.75" customHeight="1"/>
    <x:row r="442" ht="15.75" customHeight="1"/>
    <x:row r="443" ht="15.75" customHeight="1"/>
    <x:row r="444" ht="15.75" customHeight="1"/>
    <x:row r="445" ht="15.75" customHeight="1"/>
    <x:row r="446" ht="15.75" customHeight="1"/>
    <x:row r="447" ht="15.75" customHeight="1"/>
    <x:row r="448" ht="15.75" customHeight="1"/>
    <x:row r="449" ht="15.75" customHeight="1"/>
    <x:row r="450" ht="15.75" customHeight="1"/>
    <x:row r="451" ht="15.75" customHeight="1"/>
    <x:row r="452" ht="15.75" customHeight="1"/>
    <x:row r="453" ht="15.75" customHeight="1"/>
    <x:row r="454" ht="15.75" customHeight="1"/>
    <x:row r="455" ht="15.75" customHeight="1"/>
    <x:row r="456" ht="15.75" customHeight="1"/>
    <x:row r="457" ht="15.75" customHeight="1"/>
    <x:row r="458" ht="15.75" customHeight="1"/>
    <x:row r="459" ht="15.75" customHeight="1"/>
    <x:row r="460" ht="15.75" customHeight="1"/>
    <x:row r="461" ht="15.75" customHeight="1"/>
    <x:row r="462" ht="15.75" customHeight="1"/>
    <x:row r="463" ht="15.75" customHeight="1"/>
    <x:row r="464" ht="15.75" customHeight="1"/>
    <x:row r="465" ht="15.75" customHeight="1"/>
    <x:row r="466" ht="15.75" customHeight="1"/>
    <x:row r="467" ht="15.75" customHeight="1"/>
    <x:row r="468" ht="15.75" customHeight="1"/>
    <x:row r="469" ht="15.75" customHeight="1"/>
    <x:row r="470" ht="15.75" customHeight="1"/>
    <x:row r="471" ht="15.75" customHeight="1"/>
    <x:row r="472" ht="15.75" customHeight="1"/>
    <x:row r="473" ht="15.75" customHeight="1"/>
    <x:row r="474" ht="15.75" customHeight="1"/>
    <x:row r="475" ht="15.75" customHeight="1"/>
    <x:row r="476" ht="15.75" customHeight="1"/>
    <x:row r="477" ht="15.75" customHeight="1"/>
    <x:row r="478" ht="15.75" customHeight="1"/>
    <x:row r="479" ht="15.75" customHeight="1"/>
    <x:row r="480" ht="15.75" customHeight="1"/>
    <x:row r="481" ht="15.75" customHeight="1"/>
    <x:row r="482" ht="15.75" customHeight="1"/>
    <x:row r="483" ht="15.75" customHeight="1"/>
    <x:row r="484" ht="15.75" customHeight="1"/>
    <x:row r="485" ht="15.75" customHeight="1"/>
    <x:row r="486" ht="15.75" customHeight="1"/>
    <x:row r="487" ht="15.75" customHeight="1"/>
    <x:row r="488" ht="15.75" customHeight="1"/>
    <x:row r="489" ht="15.75" customHeight="1"/>
    <x:row r="490" ht="15.75" customHeight="1"/>
    <x:row r="491" ht="15.75" customHeight="1"/>
    <x:row r="492" ht="15.75" customHeight="1"/>
    <x:row r="493" ht="15.75" customHeight="1"/>
    <x:row r="494" ht="15.75" customHeight="1"/>
    <x:row r="495" ht="15.75" customHeight="1"/>
    <x:row r="496" ht="15.75" customHeight="1"/>
    <x:row r="497" ht="15.75" customHeight="1"/>
    <x:row r="498" ht="15.75" customHeight="1"/>
    <x:row r="499" ht="15.75" customHeight="1"/>
    <x:row r="500" ht="15.75" customHeight="1"/>
    <x:row r="501" ht="15.75" customHeight="1"/>
    <x:row r="502" ht="15.75" customHeight="1"/>
    <x:row r="503" ht="15.75" customHeight="1"/>
    <x:row r="504" ht="15.75" customHeight="1"/>
    <x:row r="505" ht="15.75" customHeight="1"/>
    <x:row r="506" ht="15.75" customHeight="1"/>
    <x:row r="507" ht="15.75" customHeight="1"/>
    <x:row r="508" ht="15.75" customHeight="1"/>
    <x:row r="509" ht="15.75" customHeight="1"/>
    <x:row r="510" ht="15.75" customHeight="1"/>
    <x:row r="511" ht="15.75" customHeight="1"/>
    <x:row r="512" ht="15.75" customHeight="1"/>
    <x:row r="513" ht="15.75" customHeight="1"/>
    <x:row r="514" ht="15.75" customHeight="1"/>
    <x:row r="515" ht="15.75" customHeight="1"/>
    <x:row r="516" ht="15.75" customHeight="1"/>
    <x:row r="517" ht="15.75" customHeight="1"/>
    <x:row r="518" ht="15.75" customHeight="1"/>
    <x:row r="519" ht="15.75" customHeight="1"/>
    <x:row r="520" ht="15.75" customHeight="1"/>
    <x:row r="521" ht="15.75" customHeight="1"/>
    <x:row r="522" ht="15.75" customHeight="1"/>
    <x:row r="523" ht="15.75" customHeight="1"/>
    <x:row r="524" ht="15.75" customHeight="1"/>
    <x:row r="525" ht="15.75" customHeight="1"/>
    <x:row r="526" ht="15.75" customHeight="1"/>
    <x:row r="527" ht="15.75" customHeight="1"/>
    <x:row r="528" ht="15.75" customHeight="1"/>
    <x:row r="529" ht="15.75" customHeight="1"/>
    <x:row r="530" ht="15.75" customHeight="1"/>
    <x:row r="531" ht="15.75" customHeight="1"/>
    <x:row r="532" ht="15.75" customHeight="1"/>
    <x:row r="533" ht="15.75" customHeight="1"/>
    <x:row r="534" ht="15.75" customHeight="1"/>
    <x:row r="535" ht="15.75" customHeight="1"/>
    <x:row r="536" ht="15.75" customHeight="1"/>
    <x:row r="537" ht="15.75" customHeight="1"/>
    <x:row r="538" ht="15.75" customHeight="1"/>
    <x:row r="539" ht="15.75" customHeight="1"/>
    <x:row r="540" ht="15.75" customHeight="1"/>
    <x:row r="541" ht="15.75" customHeight="1"/>
    <x:row r="542" ht="15.75" customHeight="1"/>
    <x:row r="543" ht="15.75" customHeight="1"/>
    <x:row r="544" ht="15.75" customHeight="1"/>
    <x:row r="545" ht="15.75" customHeight="1"/>
    <x:row r="546" ht="15.75" customHeight="1"/>
    <x:row r="547" ht="15.75" customHeight="1"/>
    <x:row r="548" ht="15.75" customHeight="1"/>
    <x:row r="549" ht="15.75" customHeight="1"/>
    <x:row r="550" ht="15.75" customHeight="1"/>
    <x:row r="551" ht="15.75" customHeight="1"/>
    <x:row r="552" ht="15.75" customHeight="1"/>
    <x:row r="553" ht="15.75" customHeight="1"/>
    <x:row r="554" ht="15.75" customHeight="1"/>
    <x:row r="555" ht="15.75" customHeight="1"/>
    <x:row r="556" ht="15.75" customHeight="1"/>
    <x:row r="557" ht="15.75" customHeight="1"/>
    <x:row r="558" ht="15.75" customHeight="1"/>
    <x:row r="559" ht="15.75" customHeight="1"/>
    <x:row r="560" ht="15.75" customHeight="1"/>
    <x:row r="561" ht="15.75" customHeight="1"/>
    <x:row r="562" ht="15.75" customHeight="1"/>
    <x:row r="563" ht="15.75" customHeight="1"/>
    <x:row r="564" ht="15.75" customHeight="1"/>
    <x:row r="565" ht="15.75" customHeight="1"/>
    <x:row r="566" ht="15.75" customHeight="1"/>
    <x:row r="567" ht="15.75" customHeight="1"/>
    <x:row r="568" ht="15.75" customHeight="1"/>
    <x:row r="569" ht="15.75" customHeight="1"/>
    <x:row r="570" ht="15.75" customHeight="1"/>
    <x:row r="571" ht="15.75" customHeight="1"/>
    <x:row r="572" ht="15.75" customHeight="1"/>
    <x:row r="573" ht="15.75" customHeight="1"/>
    <x:row r="574" ht="15.75" customHeight="1"/>
    <x:row r="575" ht="15.75" customHeight="1"/>
    <x:row r="576" ht="15.75" customHeight="1"/>
    <x:row r="577" ht="15.75" customHeight="1"/>
    <x:row r="578" ht="15.75" customHeight="1"/>
    <x:row r="579" ht="15.75" customHeight="1"/>
    <x:row r="580" ht="15.75" customHeight="1"/>
    <x:row r="581" ht="15.75" customHeight="1"/>
    <x:row r="582" ht="15.75" customHeight="1"/>
    <x:row r="583" ht="15.75" customHeight="1"/>
    <x:row r="584" ht="15.75" customHeight="1"/>
    <x:row r="585" ht="15.75" customHeight="1"/>
    <x:row r="586" ht="15.75" customHeight="1"/>
    <x:row r="587" ht="15.75" customHeight="1"/>
    <x:row r="588" ht="15.75" customHeight="1"/>
    <x:row r="589" ht="15.75" customHeight="1"/>
    <x:row r="590" ht="15.75" customHeight="1"/>
    <x:row r="591" ht="15.75" customHeight="1"/>
    <x:row r="592" ht="15.75" customHeight="1"/>
    <x:row r="593" ht="15.75" customHeight="1"/>
    <x:row r="594" ht="15.75" customHeight="1"/>
    <x:row r="595" ht="15.75" customHeight="1"/>
    <x:row r="596" ht="15.75" customHeight="1"/>
    <x:row r="597" ht="15.75" customHeight="1"/>
    <x:row r="598" ht="15.75" customHeight="1"/>
    <x:row r="599" ht="15.75" customHeight="1"/>
    <x:row r="600" ht="15.75" customHeight="1"/>
    <x:row r="601" ht="15.75" customHeight="1"/>
    <x:row r="602" ht="15.75" customHeight="1"/>
    <x:row r="603" ht="15.75" customHeight="1"/>
    <x:row r="604" ht="15.75" customHeight="1"/>
    <x:row r="605" ht="15.75" customHeight="1"/>
    <x:row r="606" ht="15.75" customHeight="1"/>
    <x:row r="607" ht="15.75" customHeight="1"/>
    <x:row r="608" ht="15.75" customHeight="1"/>
    <x:row r="609" ht="15.75" customHeight="1"/>
    <x:row r="610" ht="15.75" customHeight="1"/>
    <x:row r="611" ht="15.75" customHeight="1"/>
    <x:row r="612" ht="15.75" customHeight="1"/>
    <x:row r="613" ht="15.75" customHeight="1"/>
    <x:row r="614" ht="15.75" customHeight="1"/>
    <x:row r="615" ht="15.75" customHeight="1"/>
    <x:row r="616" ht="15.75" customHeight="1"/>
    <x:row r="617" ht="15.75" customHeight="1"/>
    <x:row r="618" ht="15.75" customHeight="1"/>
    <x:row r="619" ht="15.75" customHeight="1"/>
    <x:row r="620" ht="15.75" customHeight="1"/>
    <x:row r="621" ht="15.75" customHeight="1"/>
    <x:row r="622" ht="15.75" customHeight="1"/>
    <x:row r="623" ht="15.75" customHeight="1"/>
    <x:row r="624" ht="15.75" customHeight="1"/>
    <x:row r="625" ht="15.75" customHeight="1"/>
    <x:row r="626" ht="15.75" customHeight="1"/>
    <x:row r="627" ht="15.75" customHeight="1"/>
    <x:row r="628" ht="15.75" customHeight="1"/>
    <x:row r="629" ht="15.75" customHeight="1"/>
    <x:row r="630" ht="15.75" customHeight="1"/>
    <x:row r="631" ht="15.75" customHeight="1"/>
    <x:row r="632" ht="15.75" customHeight="1"/>
    <x:row r="633" ht="15.75" customHeight="1"/>
    <x:row r="634" ht="15.75" customHeight="1"/>
    <x:row r="635" ht="15.75" customHeight="1"/>
    <x:row r="636" ht="15.75" customHeight="1"/>
    <x:row r="637" ht="15.75" customHeight="1"/>
    <x:row r="638" ht="15.75" customHeight="1"/>
    <x:row r="639" ht="15.75" customHeight="1"/>
    <x:row r="640" ht="15.75" customHeight="1"/>
    <x:row r="641" ht="15.75" customHeight="1"/>
    <x:row r="642" ht="15.75" customHeight="1"/>
    <x:row r="643" ht="15.75" customHeight="1"/>
    <x:row r="644" ht="15.75" customHeight="1"/>
    <x:row r="645" ht="15.75" customHeight="1"/>
    <x:row r="646" ht="15.75" customHeight="1"/>
    <x:row r="647" ht="15.75" customHeight="1"/>
    <x:row r="648" ht="15.75" customHeight="1"/>
    <x:row r="649" ht="15.75" customHeight="1"/>
    <x:row r="650" ht="15.75" customHeight="1"/>
    <x:row r="651" ht="15.75" customHeight="1"/>
    <x:row r="652" ht="15.75" customHeight="1"/>
    <x:row r="653" ht="15.75" customHeight="1"/>
    <x:row r="654" ht="15.75" customHeight="1"/>
    <x:row r="655" ht="15.75" customHeight="1"/>
    <x:row r="656" ht="15.75" customHeight="1"/>
    <x:row r="657" ht="15.75" customHeight="1"/>
    <x:row r="658" ht="15.75" customHeight="1"/>
    <x:row r="659" ht="15.75" customHeight="1"/>
    <x:row r="660" ht="15.75" customHeight="1"/>
    <x:row r="661" ht="15.75" customHeight="1"/>
    <x:row r="662" ht="15.75" customHeight="1"/>
    <x:row r="663" ht="15.75" customHeight="1"/>
    <x:row r="664" ht="15.75" customHeight="1"/>
    <x:row r="665" ht="15.75" customHeight="1"/>
    <x:row r="666" ht="15.75" customHeight="1"/>
    <x:row r="667" ht="15.75" customHeight="1"/>
    <x:row r="668" ht="15.75" customHeight="1"/>
    <x:row r="669" ht="15.75" customHeight="1"/>
    <x:row r="670" ht="15.75" customHeight="1"/>
    <x:row r="671" ht="15.75" customHeight="1"/>
    <x:row r="672" ht="15.75" customHeight="1"/>
    <x:row r="673" ht="15.75" customHeight="1"/>
    <x:row r="674" ht="15.75" customHeight="1"/>
    <x:row r="675" ht="15.75" customHeight="1"/>
    <x:row r="676" ht="15.75" customHeight="1"/>
    <x:row r="677" ht="15.75" customHeight="1"/>
    <x:row r="678" ht="15.75" customHeight="1"/>
    <x:row r="679" ht="15.75" customHeight="1"/>
    <x:row r="680" ht="15.75" customHeight="1"/>
    <x:row r="681" ht="15.75" customHeight="1"/>
    <x:row r="682" ht="15.75" customHeight="1"/>
    <x:row r="683" ht="15.75" customHeight="1"/>
    <x:row r="684" ht="15.75" customHeight="1"/>
    <x:row r="685" ht="15.75" customHeight="1"/>
    <x:row r="686" ht="15.75" customHeight="1"/>
    <x:row r="687" ht="15.75" customHeight="1"/>
    <x:row r="688" ht="15.75" customHeight="1"/>
    <x:row r="689" ht="15.75" customHeight="1"/>
    <x:row r="690" ht="15.75" customHeight="1"/>
    <x:row r="691" ht="15.75" customHeight="1"/>
    <x:row r="692" ht="15.75" customHeight="1"/>
    <x:row r="693" ht="15.75" customHeight="1"/>
    <x:row r="694" ht="15.75" customHeight="1"/>
    <x:row r="695" ht="15.75" customHeight="1"/>
    <x:row r="696" ht="15.75" customHeight="1"/>
    <x:row r="697" ht="15.75" customHeight="1"/>
    <x:row r="698" ht="15.75" customHeight="1"/>
    <x:row r="699" ht="15.75" customHeight="1"/>
    <x:row r="700" ht="15.75" customHeight="1"/>
    <x:row r="701" ht="15.75" customHeight="1"/>
    <x:row r="702" ht="15.75" customHeight="1"/>
    <x:row r="703" ht="15.75" customHeight="1"/>
    <x:row r="704" ht="15.75" customHeight="1"/>
    <x:row r="705" ht="15.75" customHeight="1"/>
    <x:row r="706" ht="15.75" customHeight="1"/>
    <x:row r="707" ht="15.75" customHeight="1"/>
    <x:row r="708" ht="15.75" customHeight="1"/>
    <x:row r="709" ht="15.75" customHeight="1"/>
    <x:row r="710" ht="15.75" customHeight="1"/>
    <x:row r="711" ht="15.75" customHeight="1"/>
    <x:row r="712" ht="15.75" customHeight="1"/>
    <x:row r="713" ht="15.75" customHeight="1"/>
    <x:row r="714" ht="15.75" customHeight="1"/>
    <x:row r="715" ht="15.75" customHeight="1"/>
    <x:row r="716" ht="15.75" customHeight="1"/>
    <x:row r="717" ht="15.75" customHeight="1"/>
    <x:row r="718" ht="15.75" customHeight="1"/>
    <x:row r="719" ht="15.75" customHeight="1"/>
    <x:row r="720" ht="15.75" customHeight="1"/>
    <x:row r="721" ht="15.75" customHeight="1"/>
    <x:row r="722" ht="15.75" customHeight="1"/>
    <x:row r="723" ht="15.75" customHeight="1"/>
    <x:row r="724" ht="15.75" customHeight="1"/>
    <x:row r="725" ht="15.75" customHeight="1"/>
    <x:row r="726" ht="15.75" customHeight="1"/>
    <x:row r="727" ht="15.75" customHeight="1"/>
    <x:row r="728" ht="15.75" customHeight="1"/>
    <x:row r="729" ht="15.75" customHeight="1"/>
    <x:row r="730" ht="15.75" customHeight="1"/>
    <x:row r="731" ht="15.75" customHeight="1"/>
    <x:row r="732" ht="15.75" customHeight="1"/>
    <x:row r="733" ht="15.75" customHeight="1"/>
    <x:row r="734" ht="15.75" customHeight="1"/>
    <x:row r="735" ht="15.75" customHeight="1"/>
    <x:row r="736" ht="15.75" customHeight="1"/>
    <x:row r="737" ht="15.75" customHeight="1"/>
    <x:row r="738" ht="15.75" customHeight="1"/>
    <x:row r="739" ht="15.75" customHeight="1"/>
    <x:row r="740" ht="15.75" customHeight="1"/>
    <x:row r="741" ht="15.75" customHeight="1"/>
    <x:row r="742" ht="15.75" customHeight="1"/>
    <x:row r="743" ht="15.75" customHeight="1"/>
    <x:row r="744" ht="15.75" customHeight="1"/>
    <x:row r="745" ht="15.75" customHeight="1"/>
    <x:row r="746" ht="15.75" customHeight="1"/>
    <x:row r="747" ht="15.75" customHeight="1"/>
    <x:row r="748" ht="15.75" customHeight="1"/>
    <x:row r="749" ht="15.75" customHeight="1"/>
    <x:row r="750" ht="15.75" customHeight="1"/>
    <x:row r="751" ht="15.75" customHeight="1"/>
    <x:row r="752" ht="15.75" customHeight="1"/>
    <x:row r="753" ht="15.75" customHeight="1"/>
    <x:row r="754" ht="15.75" customHeight="1"/>
    <x:row r="755" ht="15.75" customHeight="1"/>
    <x:row r="756" ht="15.75" customHeight="1"/>
    <x:row r="757" ht="15.75" customHeight="1"/>
    <x:row r="758" ht="15.75" customHeight="1"/>
    <x:row r="759" ht="15.75" customHeight="1"/>
    <x:row r="760" ht="15.75" customHeight="1"/>
    <x:row r="761" ht="15.75" customHeight="1"/>
    <x:row r="762" ht="15.75" customHeight="1"/>
    <x:row r="763" ht="15.75" customHeight="1"/>
    <x:row r="764" ht="15.75" customHeight="1"/>
    <x:row r="765" ht="15.75" customHeight="1"/>
    <x:row r="766" ht="15.75" customHeight="1"/>
    <x:row r="767" ht="15.75" customHeight="1"/>
    <x:row r="768" ht="15.75" customHeight="1"/>
    <x:row r="769" ht="15.75" customHeight="1"/>
    <x:row r="770" ht="15.75" customHeight="1"/>
    <x:row r="771" ht="15.75" customHeight="1"/>
    <x:row r="772" ht="15.75" customHeight="1"/>
    <x:row r="773" ht="15.75" customHeight="1"/>
    <x:row r="774" ht="15.75" customHeight="1"/>
    <x:row r="775" ht="15.75" customHeight="1"/>
    <x:row r="776" ht="15.75" customHeight="1"/>
    <x:row r="777" ht="15.75" customHeight="1"/>
    <x:row r="778" ht="15.75" customHeight="1"/>
    <x:row r="779" ht="15.75" customHeight="1"/>
    <x:row r="780" ht="15.75" customHeight="1"/>
    <x:row r="781" ht="15.75" customHeight="1"/>
    <x:row r="782" ht="15.75" customHeight="1"/>
    <x:row r="783" ht="15.75" customHeight="1"/>
    <x:row r="784" ht="15.75" customHeight="1"/>
    <x:row r="785" ht="15.75" customHeight="1"/>
    <x:row r="786" ht="15.75" customHeight="1"/>
    <x:row r="787" ht="15.75" customHeight="1"/>
    <x:row r="788" ht="15.75" customHeight="1"/>
    <x:row r="789" ht="15.75" customHeight="1"/>
    <x:row r="790" ht="15.75" customHeight="1"/>
    <x:row r="791" ht="15.75" customHeight="1"/>
    <x:row r="792" ht="15.75" customHeight="1"/>
    <x:row r="793" ht="15.75" customHeight="1"/>
    <x:row r="794" ht="15.75" customHeight="1"/>
    <x:row r="795" ht="15.75" customHeight="1"/>
    <x:row r="796" ht="15.75" customHeight="1"/>
    <x:row r="797" ht="15.75" customHeight="1"/>
    <x:row r="798" ht="15.75" customHeight="1"/>
    <x:row r="799" ht="15.75" customHeight="1"/>
    <x:row r="800" ht="15.75" customHeight="1"/>
    <x:row r="801" ht="15.75" customHeight="1"/>
    <x:row r="802" ht="15.75" customHeight="1"/>
    <x:row r="803" ht="15.75" customHeight="1"/>
    <x:row r="804" ht="15.75" customHeight="1"/>
    <x:row r="805" ht="15.75" customHeight="1"/>
    <x:row r="806" ht="15.75" customHeight="1"/>
    <x:row r="807" ht="15.75" customHeight="1"/>
    <x:row r="808" ht="15.75" customHeight="1"/>
    <x:row r="809" ht="15.75" customHeight="1"/>
    <x:row r="810" ht="15.75" customHeight="1"/>
    <x:row r="811" ht="15.75" customHeight="1"/>
    <x:row r="812" ht="15.75" customHeight="1"/>
    <x:row r="813" ht="15.75" customHeight="1"/>
    <x:row r="814" ht="15.75" customHeight="1"/>
    <x:row r="815" ht="15.75" customHeight="1"/>
    <x:row r="816" ht="15.75" customHeight="1"/>
    <x:row r="817" ht="15.75" customHeight="1"/>
    <x:row r="818" ht="15.75" customHeight="1"/>
    <x:row r="819" ht="15.75" customHeight="1"/>
    <x:row r="820" ht="15.75" customHeight="1"/>
    <x:row r="821" ht="15.75" customHeight="1"/>
    <x:row r="822" ht="15.75" customHeight="1"/>
    <x:row r="823" ht="15.75" customHeight="1"/>
    <x:row r="824" ht="15.75" customHeight="1"/>
    <x:row r="825" ht="15.75" customHeight="1"/>
    <x:row r="826" ht="15.75" customHeight="1"/>
    <x:row r="827" ht="15.75" customHeight="1"/>
    <x:row r="828" ht="15.75" customHeight="1"/>
    <x:row r="829" ht="15.75" customHeight="1"/>
    <x:row r="830" ht="15.75" customHeight="1"/>
    <x:row r="831" ht="15.75" customHeight="1"/>
    <x:row r="832" ht="15.75" customHeight="1"/>
    <x:row r="833" ht="15.75" customHeight="1"/>
    <x:row r="834" ht="15.75" customHeight="1"/>
    <x:row r="835" ht="15.75" customHeight="1"/>
    <x:row r="836" ht="15.75" customHeight="1"/>
    <x:row r="837" ht="15.75" customHeight="1"/>
    <x:row r="838" ht="15.75" customHeight="1"/>
    <x:row r="839" ht="15.75" customHeight="1"/>
    <x:row r="840" ht="15.75" customHeight="1"/>
    <x:row r="841" ht="15.75" customHeight="1"/>
    <x:row r="842" ht="15.75" customHeight="1"/>
    <x:row r="843" ht="15.75" customHeight="1"/>
    <x:row r="844" ht="15.75" customHeight="1"/>
    <x:row r="845" ht="15.75" customHeight="1"/>
    <x:row r="846" ht="15.75" customHeight="1"/>
    <x:row r="847" ht="15.75" customHeight="1"/>
    <x:row r="848" ht="15.75" customHeight="1"/>
    <x:row r="849" ht="15.75" customHeight="1"/>
    <x:row r="850" ht="15.75" customHeight="1"/>
    <x:row r="851" ht="15.75" customHeight="1"/>
    <x:row r="852" ht="15.75" customHeight="1"/>
    <x:row r="853" ht="15.75" customHeight="1"/>
    <x:row r="854" ht="15.75" customHeight="1"/>
    <x:row r="855" ht="15.75" customHeight="1"/>
    <x:row r="856" ht="15.75" customHeight="1"/>
    <x:row r="857" ht="15.75" customHeight="1"/>
    <x:row r="858" ht="15.75" customHeight="1"/>
    <x:row r="859" ht="15.75" customHeight="1"/>
    <x:row r="860" ht="15.75" customHeight="1"/>
    <x:row r="861" ht="15.75" customHeight="1"/>
    <x:row r="862" ht="15.75" customHeight="1"/>
    <x:row r="863" ht="15.75" customHeight="1"/>
    <x:row r="864" ht="15.75" customHeight="1"/>
    <x:row r="865" ht="15.75" customHeight="1"/>
    <x:row r="866" ht="15.75" customHeight="1"/>
    <x:row r="867" ht="15.75" customHeight="1"/>
    <x:row r="868" ht="15.75" customHeight="1"/>
    <x:row r="869" ht="15.75" customHeight="1"/>
    <x:row r="870" ht="15.75" customHeight="1"/>
    <x:row r="871" ht="15.75" customHeight="1"/>
    <x:row r="872" ht="15.75" customHeight="1"/>
    <x:row r="873" ht="15.75" customHeight="1"/>
    <x:row r="874" ht="15.75" customHeight="1"/>
    <x:row r="875" ht="15.75" customHeight="1"/>
    <x:row r="876" ht="15.75" customHeight="1"/>
    <x:row r="877" ht="15.75" customHeight="1"/>
    <x:row r="878" ht="15.75" customHeight="1"/>
    <x:row r="879" ht="15.75" customHeight="1"/>
    <x:row r="880" ht="15.75" customHeight="1"/>
    <x:row r="881" ht="15.75" customHeight="1"/>
    <x:row r="882" ht="15.75" customHeight="1"/>
    <x:row r="883" ht="15.75" customHeight="1"/>
    <x:row r="884" ht="15.75" customHeight="1"/>
    <x:row r="885" ht="15.75" customHeight="1"/>
    <x:row r="886" ht="15.75" customHeight="1"/>
    <x:row r="887" ht="15.75" customHeight="1"/>
    <x:row r="888" ht="15.75" customHeight="1"/>
    <x:row r="889" ht="15.75" customHeight="1"/>
    <x:row r="890" ht="15.75" customHeight="1"/>
    <x:row r="891" ht="15.75" customHeight="1"/>
    <x:row r="892" ht="15.75" customHeight="1"/>
    <x:row r="893" ht="15.75" customHeight="1"/>
    <x:row r="894" ht="15.75" customHeight="1"/>
    <x:row r="895" ht="15.75" customHeight="1"/>
    <x:row r="896" ht="15.75" customHeight="1"/>
    <x:row r="897" ht="15.75" customHeight="1"/>
    <x:row r="898" ht="15.75" customHeight="1"/>
    <x:row r="899" ht="15.75" customHeight="1"/>
    <x:row r="900" ht="15.75" customHeight="1"/>
    <x:row r="901" ht="15.75" customHeight="1"/>
    <x:row r="902" ht="15.75" customHeight="1"/>
    <x:row r="903" ht="15.75" customHeight="1"/>
    <x:row r="904" ht="15.75" customHeight="1"/>
    <x:row r="905" ht="15.75" customHeight="1"/>
    <x:row r="906" ht="15.75" customHeight="1"/>
    <x:row r="907" ht="15.75" customHeight="1"/>
    <x:row r="908" ht="15.75" customHeight="1"/>
    <x:row r="909" ht="15.75" customHeight="1"/>
    <x:row r="910" ht="15.75" customHeight="1"/>
    <x:row r="911" ht="15.75" customHeight="1"/>
    <x:row r="912" ht="15.75" customHeight="1"/>
    <x:row r="913" ht="15.75" customHeight="1"/>
    <x:row r="914" ht="15.75" customHeight="1"/>
    <x:row r="915" ht="15.75" customHeight="1"/>
    <x:row r="916" ht="15.75" customHeight="1"/>
    <x:row r="917" ht="15.75" customHeight="1"/>
    <x:row r="918" ht="15.75" customHeight="1"/>
    <x:row r="919" ht="15.75" customHeight="1"/>
    <x:row r="920" ht="15.75" customHeight="1"/>
    <x:row r="921" ht="15.75" customHeight="1"/>
    <x:row r="922" ht="15.75" customHeight="1"/>
    <x:row r="923" ht="15.75" customHeight="1"/>
    <x:row r="924" ht="15.75" customHeight="1"/>
    <x:row r="925" ht="15.75" customHeight="1"/>
    <x:row r="926" ht="15.75" customHeight="1"/>
    <x:row r="927" ht="15.75" customHeight="1"/>
    <x:row r="928" ht="15.75" customHeight="1"/>
    <x:row r="929" ht="15.75" customHeight="1"/>
    <x:row r="930" ht="15.75" customHeight="1"/>
    <x:row r="931" ht="15.75" customHeight="1"/>
    <x:row r="932" ht="15.75" customHeight="1"/>
    <x:row r="933" ht="15.75" customHeight="1"/>
    <x:row r="934" ht="15.75" customHeight="1"/>
    <x:row r="935" ht="15.75" customHeight="1"/>
    <x:row r="936" ht="15.75" customHeight="1"/>
    <x:row r="937" ht="15.75" customHeight="1"/>
    <x:row r="938" ht="15.75" customHeight="1"/>
    <x:row r="939" ht="15.75" customHeight="1"/>
    <x:row r="940" ht="15.75" customHeight="1"/>
    <x:row r="941" ht="15.75" customHeight="1"/>
    <x:row r="942" ht="15.75" customHeight="1"/>
    <x:row r="943" ht="15.75" customHeight="1"/>
    <x:row r="944" ht="15.75" customHeight="1"/>
    <x:row r="945" ht="15.75" customHeight="1"/>
    <x:row r="946" ht="15.75" customHeight="1"/>
    <x:row r="947" ht="15.75" customHeight="1"/>
    <x:row r="948" ht="15.75" customHeight="1"/>
    <x:row r="949" ht="15.75" customHeight="1"/>
    <x:row r="950" ht="15.75" customHeight="1"/>
    <x:row r="951" ht="15.75" customHeight="1"/>
    <x:row r="952" ht="15.75" customHeight="1"/>
    <x:row r="953" ht="15.75" customHeight="1"/>
    <x:row r="954" ht="15.75" customHeight="1"/>
    <x:row r="955" ht="15.75" customHeight="1"/>
    <x:row r="956" ht="15.75" customHeight="1"/>
    <x:row r="957" ht="15.75" customHeight="1"/>
    <x:row r="958" ht="15.75" customHeight="1"/>
    <x:row r="959" ht="15.75" customHeight="1"/>
    <x:row r="960" ht="15.75" customHeight="1"/>
    <x:row r="961" ht="15.75" customHeight="1"/>
    <x:row r="962" ht="15.75" customHeight="1"/>
    <x:row r="963" ht="15.75" customHeight="1"/>
    <x:row r="964" ht="15.75" customHeight="1"/>
    <x:row r="965" ht="15.75" customHeight="1"/>
    <x:row r="966" ht="15.75" customHeight="1"/>
    <x:row r="967" ht="15.75" customHeight="1"/>
    <x:row r="968" ht="15.75" customHeight="1"/>
    <x:row r="969" ht="15.75" customHeight="1"/>
    <x:row r="970" ht="15.75" customHeight="1"/>
    <x:row r="971" ht="15.75" customHeight="1"/>
    <x:row r="972" ht="15.75" customHeight="1"/>
    <x:row r="973" ht="15.75" customHeight="1"/>
    <x:row r="974" ht="15.75" customHeight="1"/>
    <x:row r="975" ht="15.75" customHeight="1"/>
    <x:row r="976" ht="15.75" customHeight="1"/>
    <x:row r="977" ht="15.75" customHeight="1"/>
    <x:row r="978" ht="15.75" customHeight="1"/>
    <x:row r="979" ht="15.75" customHeight="1"/>
    <x:row r="980" ht="15.75" customHeight="1"/>
    <x:row r="981" ht="15.75" customHeight="1"/>
    <x:row r="982" ht="15.75" customHeight="1"/>
    <x:row r="983" ht="15.75" customHeight="1"/>
    <x:row r="984" ht="15.75" customHeight="1"/>
    <x:row r="985" ht="15.75" customHeight="1"/>
    <x:row r="986" ht="15.75" customHeight="1"/>
    <x:row r="987" ht="15.75" customHeight="1"/>
    <x:row r="988" ht="15.75" customHeight="1"/>
    <x:row r="989" ht="15.75" customHeight="1"/>
    <x:row r="990" ht="15.75" customHeight="1"/>
    <x:row r="991" ht="15.75" customHeight="1"/>
    <x:row r="992" ht="15.75" customHeight="1"/>
    <x:row r="993" ht="15.75" customHeight="1"/>
    <x:row r="994" ht="15.75" customHeight="1"/>
    <x:row r="995" ht="15.75" customHeight="1"/>
    <x:row r="996" ht="15.75" customHeight="1"/>
    <x:row r="997" ht="15.75" customHeight="1"/>
    <x:row r="998" ht="15.75" customHeight="1"/>
    <x:row r="999" ht="15.75" customHeight="1"/>
    <x:row r="1000" ht="15.75" customHeight="1"/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ColWidth="14.430000305175781" defaultRowHeight="15"/>
  <x:cols>
    <x:col min="1" max="1" width="46" customWidth="1"/>
    <x:col min="2" max="3" width="16" customWidth="1"/>
    <x:col min="4" max="4" width="52" customWidth="1"/>
    <x:col min="5" max="8" width="15" customWidth="1"/>
    <x:col min="9" max="26" width="8.710000038146973" customWidth="1"/>
  </x:cols>
  <x:sheetData>
    <x:row r="1" ht="24" customHeight="1">
      <x:c r="A1" s="1" t="s">
        <x:v>26</x:v>
      </x:c>
      <x:c r="B1" s="2"/>
      <x:c r="C1" s="2"/>
      <x:c r="D1" s="2"/>
      <x:c r="E1" s="2"/>
      <x:c r="F1" s="2"/>
      <x:c r="G1" s="2"/>
      <x:c r="H1" s="2"/>
    </x:row>
    <x:row r="2">
      <x:c r="A2" s="3" t="s">
        <x:v>27</x:v>
      </x:c>
    </x:row>
    <x:row r="4">
      <x:c r="A4" s="7" t="s">
        <x:v>28</x:v>
      </x:c>
      <x:c r="B4" s="10"/>
      <x:c r="C4" s="10"/>
      <x:c r="D4" s="10"/>
      <x:c r="E4" s="10"/>
      <x:c r="F4" s="10"/>
      <x:c r="G4" s="10"/>
      <x:c r="H4" s="10"/>
    </x:row>
    <x:row r="5" ht="112" customHeight="1">
      <x:c r="A5" s="6" t="s">
        <x:v>29</x:v>
      </x:c>
      <x:c r="B5" s="46" t="str">
        <x:v>1 note có ≥2 evidence hợp lệ, ≥1 source; người học duyệt mọi section bắt buộc; server lưu note_id duy nhất.</x:v>
      </x:c>
      <x:c r="D5" s="3" t="s">
        <x:v>30</x:v>
      </x:c>
    </x:row>
    <x:row r="6" ht="44" customHeight="1">
      <x:c r="A6" s="6" t="s">
        <x:v>31</x:v>
      </x:c>
      <x:c r="B6" s="13" t="str">
        <x:v>A</x:v>
      </x:c>
      <x:c r="D6" s="47" t="str">
        <x:v>A: người học tự sửa/duyệt. Provider chỉ trả QA mẫu, không giao managed outcome.</x:v>
      </x:c>
    </x:row>
    <x:row r="8">
      <x:c r="A8" s="7" t="s">
        <x:v>32</x:v>
      </x:c>
      <x:c r="B8" s="10"/>
      <x:c r="C8" s="10"/>
      <x:c r="D8" s="10"/>
      <x:c r="E8" s="10"/>
      <x:c r="F8" s="10"/>
      <x:c r="G8" s="10"/>
      <x:c r="H8" s="10"/>
    </x:row>
    <x:row r="9" ht="58" customHeight="1">
      <x:c r="A9" s="6" t="s">
        <x:v>33</x:v>
      </x:c>
      <x:c r="B9" s="15" t="n">
        <x:v>1200</x:v>
      </x:c>
      <x:c r="C9" s="3" t="s">
        <x:v>34</x:v>
      </x:c>
      <x:c r="D9" s="45" t="str">
        <x:v>Giả định steady-state: 70 người trả tiền × 12 note / R70%. Không phải doanh số đã đạt.</x:v>
      </x:c>
    </x:row>
    <x:row r="10" ht="58" customHeight="1">
      <x:c r="A10" s="6" t="str">
        <x:v>Tỷ lệ hoàn thành R (có người duyệt)</x:v>
      </x:c>
      <x:c r="B10" s="16" t="n">
        <x:v>0.7</x:v>
      </x:c>
      <x:c r="D10" s="47" t="str">
        <x:v>Giả định 70%, CHƯA ĐO. R không phải containment tự chủ; mỗi note đều cần người học duyệt.</x:v>
      </x:c>
    </x:row>
    <x:row r="11">
      <x:c r="A11" s="6" t="str">
        <x:v>→ Note HOÀN THÀNH / tháng</x:v>
      </x:c>
      <x:c r="B11" s="19" t="n">
        <x:f>B9*B10</x:f>
        <x:v>840</x:v>
      </x:c>
      <x:c r="C11" s="3" t="s">
        <x:v>34</x:v>
      </x:c>
      <x:c r="D11" s="3" t="s">
        <x:v>35</x:v>
      </x:c>
    </x:row>
    <x:row r="12">
      <x:c r="A12" s="6" t="str">
        <x:v>→ Lượt thử KHÔNG hoàn thành / tháng</x:v>
      </x:c>
      <x:c r="B12" s="19" t="n">
        <x:f>B9-B11</x:f>
        <x:v>360</x:v>
      </x:c>
      <x:c r="C12" s="3" t="s">
        <x:v>34</x:v>
      </x:c>
      <x:c r="D12" s="3" t="s">
        <x:v>36</x:v>
      </x:c>
    </x:row>
    <x:row r="14">
      <x:c r="A14" s="7" t="s">
        <x:v>37</x:v>
      </x:c>
      <x:c r="B14" s="10"/>
      <x:c r="C14" s="10"/>
      <x:c r="D14" s="10"/>
      <x:c r="E14" s="10"/>
      <x:c r="F14" s="10"/>
      <x:c r="G14" s="10"/>
      <x:c r="H14" s="10"/>
    </x:row>
    <x:row r="15" ht="44" customHeight="1">
      <x:c r="A15" s="6" t="s">
        <x:v>38</x:v>
      </x:c>
      <x:c r="B15" s="22" t="n">
        <x:v>1</x:v>
      </x:c>
      <x:c r="D15" s="47" t="str">
        <x:v>Claude Haiku 4.5. Giá chính thức $1/$5 per 1M, kiểm tra 12/10/2026. Nguồn tab 6 hàng 46.</x:v>
      </x:c>
    </x:row>
    <x:row r="16">
      <x:c r="A16" s="6" t="s">
        <x:v>39</x:v>
      </x:c>
      <x:c r="B16" s="22" t="n">
        <x:v>5</x:v>
      </x:c>
    </x:row>
    <x:row r="17" ht="44" customHeight="1">
      <x:c r="A17" s="6" t="s">
        <x:v>40</x:v>
      </x:c>
      <x:c r="B17" s="22" t="n">
        <x:v>1.25</x:v>
      </x:c>
      <x:c r="D17" s="47" t="str">
        <x:v>Giá 5 phút $1,25/1M; không dùng cache trong base case.</x:v>
      </x:c>
    </x:row>
    <x:row r="18" ht="44" customHeight="1">
      <x:c r="A18" s="6" t="s">
        <x:v>41</x:v>
      </x:c>
      <x:c r="B18" s="22" t="n">
        <x:v>0.1</x:v>
      </x:c>
      <x:c r="D18" s="47" t="str">
        <x:v>Giá read $0,10/1M; cached token = 0 nên không giả định cache hit.</x:v>
      </x:c>
    </x:row>
    <x:row r="19" ht="44" customHeight="1">
      <x:c r="A19" s="6" t="s">
        <x:v>42</x:v>
      </x:c>
      <x:c r="B19" s="15" t="n">
        <x:v>2</x:v>
      </x:c>
      <x:c r="C19" s="3" t="s">
        <x:v>43</x:v>
      </x:c>
      <x:c r="D19" s="45" t="str">
        <x:v>2 calls bình thường/job; retry kỹ thuật riêng, tối đa 3 whole-job retries/account/tháng.</x:v>
      </x:c>
    </x:row>
    <x:row r="20" ht="44" customHeight="1">
      <x:c r="A20" s="6" t="s">
        <x:v>44</x:v>
      </x:c>
      <x:c r="B20" s="15" t="n">
        <x:v>0</x:v>
      </x:c>
      <x:c r="C20" s="3" t="s">
        <x:v>45</x:v>
      </x:c>
      <x:c r="D20" s="47" t="str">
        <x:v>0: phiên ngắn, chưa đo prefix/hit rate; không dựa vào caching để có lãi.</x:v>
      </x:c>
    </x:row>
    <x:row r="21" ht="44" customHeight="1">
      <x:c r="A21" s="6" t="s">
        <x:v>46</x:v>
      </x:c>
      <x:c r="B21" s="15" t="n">
        <x:v>2400</x:v>
      </x:c>
      <x:c r="C21" s="3" t="s">
        <x:v>45</x:v>
      </x:c>
      <x:c r="D21" s="47" t="str">
        <x:v>Giới hạn đề xuất gồm prompt + evidence + lịch sử sửa. Dài hơn thì chia/từ chối trước khi gọi.</x:v>
      </x:c>
    </x:row>
    <x:row r="22" ht="44" customHeight="1">
      <x:c r="A22" s="6" t="s">
        <x:v>47</x:v>
      </x:c>
      <x:c r="B22" s="15" t="n">
        <x:v>800</x:v>
      </x:c>
      <x:c r="C22" s="3" t="s">
        <x:v>45</x:v>
      </x:c>
      <x:c r="D22" s="45" t="str">
        <x:v>2.400 input/800 output mỗi call; tối đa 50 calls/account/tháng gồm retry. Chưa triển khai.</x:v>
      </x:c>
    </x:row>
    <x:row r="23" ht="15.75" customHeight="1">
      <x:c r="A23" s="6" t="s">
        <x:v>48</x:v>
      </x:c>
      <x:c r="B23" s="24" t="n">
        <x:f>B20*B17/1000000</x:f>
        <x:v>0</x:v>
      </x:c>
    </x:row>
    <x:row r="24" ht="15.75" customHeight="1">
      <x:c r="A24" s="6" t="s">
        <x:v>49</x:v>
      </x:c>
      <x:c r="B24" s="24" t="n">
        <x:f>(B19-1)*B20*B18/1000000</x:f>
        <x:v>0</x:v>
      </x:c>
    </x:row>
    <x:row r="25" ht="15.75" customHeight="1">
      <x:c r="A25" s="6" t="s">
        <x:v>50</x:v>
      </x:c>
      <x:c r="B25" s="24" t="n">
        <x:f>B19*B21*B15/1000000</x:f>
        <x:v>0.0048</x:v>
      </x:c>
    </x:row>
    <x:row r="26" ht="15.75" customHeight="1">
      <x:c r="A26" s="6" t="s">
        <x:v>51</x:v>
      </x:c>
      <x:c r="B26" s="24" t="n">
        <x:f>B19*B22*B16/1000000</x:f>
        <x:v>0.008</x:v>
      </x:c>
    </x:row>
    <x:row r="27" ht="15.75" customHeight="1">
      <x:c r="A27" s="12" t="s">
        <x:v>52</x:v>
      </x:c>
      <x:c r="B27" s="23" t="n">
        <x:f>SUM(B23:B26)</x:f>
        <x:v>0.012799999999999999</x:v>
      </x:c>
    </x:row>
    <x:row r="28" ht="15.75" customHeight="1">
      <x:c r="A28" s="6" t="s">
        <x:v>53</x:v>
      </x:c>
      <x:c r="B28" s="24" t="n">
        <x:f>B19*(B20+B21)*B15/1000000+B26</x:f>
        <x:v>0.012799999999999999</x:v>
      </x:c>
    </x:row>
    <x:row r="29" ht="15.75" customHeight="1">
      <x:c r="A29" s="6" t="s">
        <x:v>54</x:v>
      </x:c>
      <x:c r="B29" s="28" t="n">
        <x:f>IF(B28=0,0,1-B27/B28)</x:f>
        <x:v>0</x:v>
      </x:c>
      <x:c r="D29" s="3" t="s">
        <x:v>55</x:v>
      </x:c>
    </x:row>
    <x:row r="30" ht="44" customHeight="1">
      <x:c r="A30" s="6" t="s">
        <x:v>56</x:v>
      </x:c>
      <x:c r="B30" s="15" t="n">
        <x:v>0</x:v>
      </x:c>
      <x:c r="D30" s="47" t="str">
        <x:v>0: phải phản hồi trong phiên học; batch chỉ dùng eval offline, giảm 50% LLM.</x:v>
      </x:c>
    </x:row>
    <x:row r="31" ht="15.75" customHeight="1">
      <x:c r="A31" s="12" t="s">
        <x:v>57</x:v>
      </x:c>
      <x:c r="B31" s="23" t="n">
        <x:f>B27*(1-B30*0.5)</x:f>
        <x:v>0.012799999999999999</x:v>
      </x:c>
    </x:row>
    <x:row r="32" ht="15.75" customHeight="1"/>
    <x:row r="33" ht="15.75" customHeight="1">
      <x:c r="A33" s="7" t="s">
        <x:v>58</x:v>
      </x:c>
      <x:c r="B33" s="10"/>
      <x:c r="C33" s="10"/>
      <x:c r="D33" s="10"/>
      <x:c r="E33" s="10"/>
      <x:c r="F33" s="10"/>
      <x:c r="G33" s="10"/>
      <x:c r="H33" s="10"/>
    </x:row>
    <x:row r="34" ht="44" customHeight="1">
      <x:c r="A34" s="6" t="s">
        <x:v>59</x:v>
      </x:c>
      <x:c r="B34" s="29" t="n">
        <x:v>0</x:v>
      </x:c>
      <x:c r="D34" s="47" t="str">
        <x:v>0: MVP chỉ nhận văn bản, không thu âm.</x:v>
      </x:c>
    </x:row>
    <x:row r="35" ht="44" customHeight="1">
      <x:c r="A35" s="6" t="s">
        <x:v>60</x:v>
      </x:c>
      <x:c r="B35" s="21" t="n">
        <x:v>0</x:v>
      </x:c>
      <x:c r="C35" s="3" t="s">
        <x:v>61</x:v>
      </x:c>
      <x:c r="D35" s="45" t="str">
        <x:v>0: không có audio.</x:v>
      </x:c>
    </x:row>
    <x:row r="36" ht="44" customHeight="1">
      <x:c r="A36" s="6" t="s">
        <x:v>62</x:v>
      </x:c>
      <x:c r="B36" s="22" t="n">
        <x:v>0</x:v>
      </x:c>
      <x:c r="D36" s="47" t="str">
        <x:v>0: không tổng hợp giọng nói.</x:v>
      </x:c>
    </x:row>
    <x:row r="37" ht="44" customHeight="1">
      <x:c r="A37" s="6" t="s">
        <x:v>63</x:v>
      </x:c>
      <x:c r="B37" s="15" t="n">
        <x:v>0</x:v>
      </x:c>
      <x:c r="C37" s="3" t="s">
        <x:v>64</x:v>
      </x:c>
      <x:c r="D37" s="47" t="str">
        <x:v>0: không có TTS.</x:v>
      </x:c>
    </x:row>
    <x:row r="38" ht="15.75" customHeight="1">
      <x:c r="A38" s="6" t="s">
        <x:v>65</x:v>
      </x:c>
      <x:c r="B38" s="24" t="n">
        <x:f>B34*B35+B36*B37/1000000</x:f>
        <x:v>0</x:v>
      </x:c>
    </x:row>
    <x:row r="39" ht="15.75" customHeight="1"/>
    <x:row r="40" ht="15.75" customHeight="1">
      <x:c r="A40" s="7" t="s">
        <x:v>66</x:v>
      </x:c>
      <x:c r="B40" s="10"/>
      <x:c r="C40" s="10"/>
      <x:c r="D40" s="10"/>
      <x:c r="E40" s="10"/>
      <x:c r="F40" s="10"/>
      <x:c r="G40" s="10"/>
      <x:c r="H40" s="10"/>
    </x:row>
    <x:row r="41" ht="58" customHeight="1">
      <x:c r="A41" s="6" t="s">
        <x:v>67</x:v>
      </x:c>
      <x:c r="B41" s="29" t="n">
        <x:v>0.045</x:v>
      </x:c>
      <x:c r="D41" s="47" t="str">
        <x:v>$0,020 hosting/DB/storage gồm retry I/O reserve + $0,010 logs/eval + $0,015 phí thu tiền/hoàn tiền; giả định mỗi lượt thường.</x:v>
      </x:c>
    </x:row>
    <x:row r="42" ht="44" customHeight="1">
      <x:c r="A42" s="6" t="s">
        <x:v>68</x:v>
      </x:c>
      <x:c r="B42" s="29" t="n">
        <x:v>0</x:v>
      </x:c>
      <x:c r="D42" s="45" t="str">
        <x:v>0: không gọi điện. Phí thanh toán đã trong B41.</x:v>
      </x:c>
    </x:row>
    <x:row r="43" ht="15.75" customHeight="1">
      <x:c r="A43" s="6" t="s">
        <x:v>69</x:v>
      </x:c>
      <x:c r="B43" s="24" t="n">
        <x:f>B41+B42*B35</x:f>
        <x:v>0.045</x:v>
      </x:c>
    </x:row>
    <x:row r="44" ht="15.75" customHeight="1"/>
    <x:row r="45" ht="15.75" customHeight="1">
      <x:c r="A45" s="7" t="s">
        <x:v>70</x:v>
      </x:c>
      <x:c r="B45" s="10"/>
      <x:c r="C45" s="10"/>
      <x:c r="D45" s="10"/>
      <x:c r="E45" s="10"/>
      <x:c r="F45" s="10"/>
      <x:c r="G45" s="10"/>
      <x:c r="H45" s="10"/>
    </x:row>
    <x:row r="46" ht="44" customHeight="1">
      <x:c r="A46" s="6" t="s">
        <x:v>71</x:v>
      </x:c>
      <x:c r="B46" s="16" t="n">
        <x:v>0.1</x:v>
      </x:c>
      <x:c r="D46" s="47" t="str">
        <x:v>Kỳ vọng 10% retry toàn job. Hard cap 3 retry/gói, chặn sau trần. Stress dùng đủ cap ở tab 2.</x:v>
      </x:c>
    </x:row>
    <x:row r="47" ht="15.75" customHeight="1">
      <x:c r="A47" s="6" t="s">
        <x:v>72</x:v>
      </x:c>
      <x:c r="B47" s="24" t="n">
        <x:f>(B31+B38)*B46</x:f>
        <x:v>0.0012799999999999999</x:v>
      </x:c>
    </x:row>
    <x:row r="48" ht="15.75" customHeight="1"/>
    <x:row r="49" ht="15.75" customHeight="1">
      <x:c r="A49" s="7" t="s">
        <x:v>73</x:v>
      </x:c>
      <x:c r="B49" s="10"/>
      <x:c r="C49" s="10"/>
      <x:c r="D49" s="10"/>
      <x:c r="E49" s="10"/>
      <x:c r="F49" s="10"/>
      <x:c r="G49" s="10"/>
      <x:c r="H49" s="10"/>
    </x:row>
    <x:row r="50" ht="44" customHeight="1">
      <x:c r="A50" s="6" t="s">
        <x:v>74</x:v>
      </x:c>
      <x:c r="B50" s="22" t="n">
        <x:v>8</x:v>
      </x:c>
      <x:c r="D50" s="47" t="str">
        <x:v>Ước tính $8/h fully-loaded. Chưa có hợp đồng nhân sự.</x:v>
      </x:c>
    </x:row>
    <x:row r="51" ht="44" customHeight="1">
      <x:c r="A51" s="6" t="str">
        <x:v>% lượt phân bổ QA và support</x:v>
      </x:c>
      <x:c r="B51" s="16" t="n">
        <x:v>0.1</x:v>
      </x:c>
      <x:c r="D51" s="47" t="str">
        <x:v>10% attempts × 6 phút là driver phân bổ công QA/support, cần đo lại.</x:v>
      </x:c>
    </x:row>
    <x:row r="52" ht="64" customHeight="1">
      <x:c r="A52" s="6" t="str">
        <x:v>Phút QA + support / ca phân bổ</x:v>
      </x:c>
      <x:c r="B52" s="21" t="n">
        <x:v>6</x:v>
      </x:c>
      <x:c r="C52" s="3" t="s">
        <x:v>61</x:v>
      </x:c>
      <x:c r="D52" s="45" t="str">
        <x:v>3 phút QA + 3 phút support workflow phân bổ. Base $48 QA + $48 support/tháng, không sửa note cho khách.</x:v>
      </x:c>
    </x:row>
    <x:row r="53" ht="44" customHeight="1">
      <x:c r="A53" s="6" t="s">
        <x:v>75</x:v>
      </x:c>
      <x:c r="B53" s="21" t="n">
        <x:v>0</x:v>
      </x:c>
      <x:c r="C53" s="3" t="s">
        <x:v>61</x:v>
      </x:c>
      <x:c r="D53" s="45" t="str">
        <x:v>0: HITL A, learner chịu công sửa. Không cung cấp người sửa từng note.</x:v>
      </x:c>
    </x:row>
    <x:row r="54" ht="15.75" customHeight="1">
      <x:c r="A54" s="6" t="str">
        <x:v>→ QA + support nội bộ / tháng</x:v>
      </x:c>
      <x:c r="B54" s="32" t="n">
        <x:f>B9*B51*(B52/60)*B50</x:f>
        <x:v>96</x:v>
      </x:c>
    </x:row>
    <x:row r="55" ht="15.75" customHeight="1">
      <x:c r="A55" s="6" t="s">
        <x:v>76</x:v>
      </x:c>
      <x:c r="B55" s="32" t="n">
        <x:f>IF(B6="B",B12*(B53/60)*B50,0)</x:f>
        <x:v>0</x:v>
      </x:c>
      <x:c r="D55" s="3" t="s">
        <x:v>77</x:v>
      </x:c>
    </x:row>
    <x:row r="56" ht="15.75" customHeight="1">
      <x:c r="A56" s="12" t="s">
        <x:v>78</x:v>
      </x:c>
      <x:c r="B56" s="33" t="n">
        <x:f>B54+B55</x:f>
        <x:v>96</x:v>
      </x:c>
    </x:row>
    <x:row r="57" ht="15.75" customHeight="1"/>
    <x:row r="58" ht="15.75" customHeight="1">
      <x:c r="A58" s="7" t="s">
        <x:v>79</x:v>
      </x:c>
      <x:c r="B58" s="10"/>
      <x:c r="C58" s="10"/>
      <x:c r="D58" s="10"/>
      <x:c r="E58" s="10"/>
      <x:c r="F58" s="10"/>
      <x:c r="G58" s="10"/>
      <x:c r="H58" s="10"/>
    </x:row>
    <x:row r="59" ht="58" customHeight="1">
      <x:c r="A59" s="6" t="str">
        <x:v>R&amp;D và admin phân bổ / tháng ($)</x:v>
      </x:c>
      <x:c r="B59" s="22" t="n">
        <x:v>84</x:v>
      </x:c>
      <x:c r="D59" s="47" t="str">
        <x:v>Ước tính R&amp;D/admin 10,5h × $8 = $84/tháng; không chứa ngân sách acquisition.</x:v>
      </x:c>
    </x:row>
    <x:row r="60" ht="15.75" customHeight="1"/>
    <x:row r="61" ht="15.75" customHeight="1">
      <x:c r="A61" s="7" t="s">
        <x:v>80</x:v>
      </x:c>
      <x:c r="B61" s="10"/>
      <x:c r="C61" s="10"/>
      <x:c r="D61" s="10"/>
      <x:c r="E61" s="10"/>
      <x:c r="F61" s="10"/>
      <x:c r="G61" s="10"/>
      <x:c r="H61" s="10"/>
    </x:row>
    <x:row r="62" ht="15.75" customHeight="1">
      <x:c r="A62" s="6" t="s">
        <x:v>81</x:v>
      </x:c>
      <x:c r="B62" s="32" t="n">
        <x:f>B9*(B31+B38+B43+B47)</x:f>
        <x:v>70.89599999999999</x:v>
      </x:c>
    </x:row>
    <x:row r="63" ht="15.75" customHeight="1">
      <x:c r="A63" s="6" t="s">
        <x:v>82</x:v>
      </x:c>
      <x:c r="B63" s="32" t="n">
        <x:f>B56</x:f>
        <x:v>96</x:v>
      </x:c>
    </x:row>
    <x:row r="64" ht="15.75" customHeight="1">
      <x:c r="A64" s="6" t="s">
        <x:v>83</x:v>
      </x:c>
      <x:c r="B64" s="32" t="n">
        <x:f>B59</x:f>
        <x:v>84</x:v>
      </x:c>
    </x:row>
    <x:row r="65" ht="15.75" customHeight="1">
      <x:c r="A65" s="6" t="s">
        <x:v>84</x:v>
      </x:c>
      <x:c r="B65" s="32" t="n">
        <x:f>B62+B63+B64</x:f>
        <x:v>250.896</x:v>
      </x:c>
    </x:row>
    <x:row r="66" ht="15.75" customHeight="1">
      <x:c r="A66" s="12" t="s">
        <x:v>85</x:v>
      </x:c>
      <x:c r="B66" s="23" t="n">
        <x:f>IF(B11=0,NA(),(B62+B63)/B11)</x:f>
        <x:v>0.19868571428571427</x:v>
      </x:c>
      <x:c r="C66" s="3" t="s">
        <x:v>86</x:v>
      </x:c>
      <x:c r="D66" s="3" t="s">
        <x:v>87</x:v>
      </x:c>
    </x:row>
    <x:row r="67" ht="15.75" customHeight="1">
      <x:c r="A67" s="12" t="s">
        <x:v>88</x:v>
      </x:c>
      <x:c r="B67" s="23" t="n">
        <x:f>IF(B11=0,NA(),B65/B11)</x:f>
        <x:v>0.2986857142857143</x:v>
      </x:c>
      <x:c r="C67" s="3" t="s">
        <x:v>86</x:v>
      </x:c>
    </x:row>
    <x:row r="68" ht="44" customHeight="1">
      <x:c r="A68" s="6" t="str">
        <x:v>Tỷ giá bán VCB 12/10/2026 (VND/USD)</x:v>
      </x:c>
      <x:c r="B68" s="15" t="n">
        <x:v>26070</x:v>
      </x:c>
      <x:c r="C68" s="3" t="s">
        <x:v>89</x:v>
      </x:c>
      <x:c r="D68" s="47" t="str">
        <x:v>26.070 theo XML VCB 09:20 12/10/2026; dùng giá bán vì mua USD để trả API.</x:v>
      </x:c>
    </x:row>
    <x:row r="69" ht="15.75" customHeight="1">
      <x:c r="A69" s="6" t="s">
        <x:v>90</x:v>
      </x:c>
      <x:c r="B69" s="36" t="n">
        <x:f>B66*B68</x:f>
        <x:v>5179.736571428571</x:v>
      </x:c>
      <x:c r="C69" s="3" t="s">
        <x:v>91</x:v>
      </x:c>
    </x:row>
    <x:row r="70" ht="15.75" customHeight="1"/>
    <x:row r="71" ht="15.75" customHeight="1">
      <x:c r="A71" s="7" t="s">
        <x:v>92</x:v>
      </x:c>
      <x:c r="B71" s="10"/>
      <x:c r="C71" s="10"/>
      <x:c r="D71" s="10"/>
      <x:c r="E71" s="10"/>
      <x:c r="F71" s="10"/>
      <x:c r="G71" s="10"/>
      <x:c r="H71" s="10"/>
    </x:row>
    <x:row r="72" ht="15.75" customHeight="1">
      <x:c r="A72" s="6" t="s">
        <x:v>93</x:v>
      </x:c>
      <x:c r="B72" s="32" t="n">
        <x:f>B9*B31</x:f>
        <x:v>15.36</x:v>
      </x:c>
      <x:c r="C72" s="28" t="n">
        <x:f t="shared" ref="C72:C77" si="1">B72/SUM($B$62:$B$64)</x:f>
        <x:v>0.0612205854218481</x:v>
      </x:c>
    </x:row>
    <x:row r="73" ht="15.75" customHeight="1">
      <x:c r="A73" s="6" t="s">
        <x:v>94</x:v>
      </x:c>
      <x:c r="B73" s="32" t="n">
        <x:f>B9*B38</x:f>
        <x:v>0</x:v>
      </x:c>
      <x:c r="C73" s="28" t="n">
        <x:f t="shared" si="1">B73/SUM($B$62:$B$64)</x:f>
        <x:v>0</x:v>
      </x:c>
    </x:row>
    <x:row r="74" ht="15.75" customHeight="1">
      <x:c r="A74" s="6" t="s">
        <x:v>95</x:v>
      </x:c>
      <x:c r="B74" s="32" t="n">
        <x:f>B9*B43</x:f>
        <x:v>54</x:v>
      </x:c>
      <x:c r="C74" s="28" t="n">
        <x:f t="shared" si="1">B74/SUM($B$62:$B$64)</x:f>
        <x:v>0.21522862062368472</x:v>
      </x:c>
    </x:row>
    <x:row r="75" ht="15.75" customHeight="1">
      <x:c r="A75" s="6" t="s">
        <x:v>96</x:v>
      </x:c>
      <x:c r="B75" s="32" t="n">
        <x:f>B9*B47</x:f>
        <x:v>1.5359999999999998</x:v>
      </x:c>
      <x:c r="C75" s="28" t="n">
        <x:f t="shared" si="1">B75/SUM($B$62:$B$64)</x:f>
        <x:v>0.006122058542184809</x:v>
      </x:c>
    </x:row>
    <x:row r="76" ht="15.75" customHeight="1">
      <x:c r="A76" s="6" t="str">
        <x:v>HITL và support trực tiếp</x:v>
      </x:c>
      <x:c r="B76" s="32" t="n">
        <x:f>B56</x:f>
        <x:v>96</x:v>
      </x:c>
      <x:c r="C76" s="28" t="n">
        <x:f t="shared" si="1">B76/SUM($B$62:$B$64)</x:f>
        <x:v>0.3826286588865506</x:v>
      </x:c>
    </x:row>
    <x:row r="77" ht="15.75" customHeight="1">
      <x:c r="A77" s="6" t="s">
        <x:v>97</x:v>
      </x:c>
      <x:c r="B77" s="32" t="n">
        <x:f>B59</x:f>
        <x:v>84</x:v>
      </x:c>
      <x:c r="C77" s="28" t="n">
        <x:f t="shared" si="1">B77/SUM($B$62:$B$64)</x:f>
        <x:v>0.3348000765257318</x:v>
      </x:c>
    </x:row>
    <x:row r="78" ht="44" customHeight="1">
      <x:c r="A78" s="47" t="str">
        <x:v>R chỉ là hoàn thành có người duyệt. Đo riêng chất lượng AI và công người sửa trong eval/pilot.</x:v>
      </x:c>
    </x:row>
    <x:row r="79" ht="15.75" customHeight="1"/>
    <x:row r="80" ht="15.75" customHeight="1"/>
    <x:row r="81" ht="15.75" customHeight="1"/>
    <x:row r="82" ht="15.75" customHeight="1"/>
    <x:row r="83" ht="15.75" customHeight="1"/>
    <x:row r="84" ht="15.75" customHeight="1"/>
    <x:row r="85" ht="15.75" customHeight="1"/>
    <x:row r="86" ht="15.75" customHeight="1"/>
    <x:row r="87" ht="15.75" customHeight="1"/>
    <x:row r="88" ht="15.75" customHeight="1"/>
    <x:row r="89" ht="15.75" customHeight="1"/>
    <x:row r="90" ht="15.75" customHeight="1"/>
    <x:row r="91" ht="15.75" customHeight="1"/>
    <x:row r="92" ht="15.75" customHeight="1"/>
    <x:row r="93" ht="15.75" customHeight="1"/>
    <x:row r="94" ht="15.75" customHeight="1"/>
    <x:row r="95" ht="15.75" customHeight="1"/>
    <x:row r="96" ht="15.75" customHeight="1"/>
    <x:row r="97" ht="15.75" customHeight="1"/>
    <x:row r="98" ht="15.75" customHeight="1"/>
    <x:row r="99" ht="15.75" customHeight="1"/>
    <x:row r="100" ht="15.75" customHeight="1"/>
    <x:row r="101" ht="15.75" customHeight="1"/>
    <x:row r="102" ht="15.75" customHeight="1"/>
    <x:row r="103" ht="15.75" customHeight="1"/>
    <x:row r="104" ht="15.75" customHeight="1"/>
    <x:row r="105" ht="15.75" customHeight="1"/>
    <x:row r="106" ht="15.75" customHeight="1"/>
    <x:row r="107" ht="15.75" customHeight="1"/>
    <x:row r="108" ht="15.75" customHeight="1"/>
    <x:row r="109" ht="15.75" customHeight="1"/>
    <x:row r="110" ht="15.75" customHeight="1"/>
    <x:row r="111" ht="15.75" customHeight="1"/>
    <x:row r="112" ht="15.75" customHeight="1"/>
    <x:row r="113" ht="15.75" customHeight="1"/>
    <x:row r="114" ht="15.75" customHeight="1"/>
    <x:row r="115" ht="15.75" customHeight="1"/>
    <x:row r="116" ht="15.75" customHeight="1"/>
    <x:row r="117" ht="15.75" customHeight="1"/>
    <x:row r="118" ht="15.75" customHeight="1"/>
    <x:row r="119" ht="15.75" customHeight="1"/>
    <x:row r="120" ht="15.75" customHeight="1"/>
    <x:row r="121" ht="15.75" customHeight="1"/>
    <x:row r="122" ht="15.75" customHeight="1"/>
    <x:row r="123" ht="15.75" customHeight="1"/>
    <x:row r="124" ht="15.75" customHeight="1"/>
    <x:row r="125" ht="15.75" customHeight="1"/>
    <x:row r="126" ht="15.75" customHeight="1"/>
    <x:row r="127" ht="15.75" customHeight="1"/>
    <x:row r="128" ht="15.75" customHeight="1"/>
    <x:row r="129" ht="15.75" customHeight="1"/>
    <x:row r="130" ht="15.75" customHeight="1"/>
    <x:row r="131" ht="15.75" customHeight="1"/>
    <x:row r="132" ht="15.75" customHeight="1"/>
    <x:row r="133" ht="15.75" customHeight="1"/>
    <x:row r="134" ht="15.75" customHeight="1"/>
    <x:row r="135" ht="15.75" customHeight="1"/>
    <x:row r="136" ht="15.75" customHeight="1"/>
    <x:row r="137" ht="15.75" customHeight="1"/>
    <x:row r="138" ht="15.75" customHeight="1"/>
    <x:row r="139" ht="15.75" customHeight="1"/>
    <x:row r="140" ht="15.75" customHeight="1"/>
    <x:row r="141" ht="15.75" customHeight="1"/>
    <x:row r="142" ht="15.75" customHeight="1"/>
    <x:row r="143" ht="15.75" customHeight="1"/>
    <x:row r="144" ht="15.75" customHeight="1"/>
    <x:row r="145" ht="15.75" customHeight="1"/>
    <x:row r="146" ht="15.75" customHeight="1"/>
    <x:row r="147" ht="15.75" customHeight="1"/>
    <x:row r="148" ht="15.75" customHeight="1"/>
    <x:row r="149" ht="15.75" customHeight="1"/>
    <x:row r="150" ht="15.75" customHeight="1"/>
    <x:row r="151" ht="15.75" customHeight="1"/>
    <x:row r="152" ht="15.75" customHeight="1"/>
    <x:row r="153" ht="15.75" customHeight="1"/>
    <x:row r="154" ht="15.75" customHeight="1"/>
    <x:row r="155" ht="15.75" customHeight="1"/>
    <x:row r="156" ht="15.75" customHeight="1"/>
    <x:row r="157" ht="15.75" customHeight="1"/>
    <x:row r="158" ht="15.75" customHeight="1"/>
    <x:row r="159" ht="15.75" customHeight="1"/>
    <x:row r="160" ht="15.75" customHeight="1"/>
    <x:row r="161" ht="15.75" customHeight="1"/>
    <x:row r="162" ht="15.75" customHeight="1"/>
    <x:row r="163" ht="15.75" customHeight="1"/>
    <x:row r="164" ht="15.75" customHeight="1"/>
    <x:row r="165" ht="15.75" customHeight="1"/>
    <x:row r="166" ht="15.75" customHeight="1"/>
    <x:row r="167" ht="15.75" customHeight="1"/>
    <x:row r="168" ht="15.75" customHeight="1"/>
    <x:row r="169" ht="15.75" customHeight="1"/>
    <x:row r="170" ht="15.75" customHeight="1"/>
    <x:row r="171" ht="15.75" customHeight="1"/>
    <x:row r="172" ht="15.75" customHeight="1"/>
    <x:row r="173" ht="15.75" customHeight="1"/>
    <x:row r="174" ht="15.75" customHeight="1"/>
    <x:row r="175" ht="15.75" customHeight="1"/>
    <x:row r="176" ht="15.75" customHeight="1"/>
    <x:row r="177" ht="15.75" customHeight="1"/>
    <x:row r="178" ht="15.75" customHeight="1"/>
    <x:row r="179" ht="15.75" customHeight="1"/>
    <x:row r="180" ht="15.75" customHeight="1"/>
    <x:row r="181" ht="15.75" customHeight="1"/>
    <x:row r="182" ht="15.75" customHeight="1"/>
    <x:row r="183" ht="15.75" customHeight="1"/>
    <x:row r="184" ht="15.75" customHeight="1"/>
    <x:row r="185" ht="15.75" customHeight="1"/>
    <x:row r="186" ht="15.75" customHeight="1"/>
    <x:row r="187" ht="15.75" customHeight="1"/>
    <x:row r="188" ht="15.75" customHeight="1"/>
    <x:row r="189" ht="15.75" customHeight="1"/>
    <x:row r="190" ht="15.75" customHeight="1"/>
    <x:row r="191" ht="15.75" customHeight="1"/>
    <x:row r="192" ht="15.75" customHeight="1"/>
    <x:row r="193" ht="15.75" customHeight="1"/>
    <x:row r="194" ht="15.75" customHeight="1"/>
    <x:row r="195" ht="15.75" customHeight="1"/>
    <x:row r="196" ht="15.75" customHeight="1"/>
    <x:row r="197" ht="15.75" customHeight="1"/>
    <x:row r="198" ht="15.75" customHeight="1"/>
    <x:row r="199" ht="15.75" customHeight="1"/>
    <x:row r="200" ht="15.75" customHeight="1"/>
    <x:row r="201" ht="15.75" customHeight="1"/>
    <x:row r="202" ht="15.75" customHeight="1"/>
    <x:row r="203" ht="15.75" customHeight="1"/>
    <x:row r="204" ht="15.75" customHeight="1"/>
    <x:row r="205" ht="15.75" customHeight="1"/>
    <x:row r="206" ht="15.75" customHeight="1"/>
    <x:row r="207" ht="15.75" customHeight="1"/>
    <x:row r="208" ht="15.75" customHeight="1"/>
    <x:row r="209" ht="15.75" customHeight="1"/>
    <x:row r="210" ht="15.75" customHeight="1"/>
    <x:row r="211" ht="15.75" customHeight="1"/>
    <x:row r="212" ht="15.75" customHeight="1"/>
    <x:row r="213" ht="15.75" customHeight="1"/>
    <x:row r="214" ht="15.75" customHeight="1"/>
    <x:row r="215" ht="15.75" customHeight="1"/>
    <x:row r="216" ht="15.75" customHeight="1"/>
    <x:row r="217" ht="15.75" customHeight="1"/>
    <x:row r="218" ht="15.75" customHeight="1"/>
    <x:row r="219" ht="15.75" customHeight="1"/>
    <x:row r="220" ht="15.75" customHeight="1"/>
    <x:row r="221" ht="15.75" customHeight="1"/>
    <x:row r="222" ht="15.75" customHeight="1"/>
    <x:row r="223" ht="15.75" customHeight="1"/>
    <x:row r="224" ht="15.75" customHeight="1"/>
    <x:row r="225" ht="15.75" customHeight="1"/>
    <x:row r="226" ht="15.75" customHeight="1"/>
    <x:row r="227" ht="15.75" customHeight="1"/>
    <x:row r="228" ht="15.75" customHeight="1"/>
    <x:row r="229" ht="15.75" customHeight="1"/>
    <x:row r="230" ht="15.75" customHeight="1"/>
    <x:row r="231" ht="15.75" customHeight="1"/>
    <x:row r="232" ht="15.75" customHeight="1"/>
    <x:row r="233" ht="15.75" customHeight="1"/>
    <x:row r="234" ht="15.75" customHeight="1"/>
    <x:row r="235" ht="15.75" customHeight="1"/>
    <x:row r="236" ht="15.75" customHeight="1"/>
    <x:row r="237" ht="15.75" customHeight="1"/>
    <x:row r="238" ht="15.75" customHeight="1"/>
    <x:row r="239" ht="15.75" customHeight="1"/>
    <x:row r="240" ht="15.75" customHeight="1"/>
    <x:row r="241" ht="15.75" customHeight="1"/>
    <x:row r="242" ht="15.75" customHeight="1"/>
    <x:row r="243" ht="15.75" customHeight="1"/>
    <x:row r="244" ht="15.75" customHeight="1"/>
    <x:row r="245" ht="15.75" customHeight="1"/>
    <x:row r="246" ht="15.75" customHeight="1"/>
    <x:row r="247" ht="15.75" customHeight="1"/>
    <x:row r="248" ht="15.75" customHeight="1"/>
    <x:row r="249" ht="15.75" customHeight="1"/>
    <x:row r="250" ht="15.75" customHeight="1"/>
    <x:row r="251" ht="15.75" customHeight="1"/>
    <x:row r="252" ht="15.75" customHeight="1"/>
    <x:row r="253" ht="15.75" customHeight="1"/>
    <x:row r="254" ht="15.75" customHeight="1"/>
    <x:row r="255" ht="15.75" customHeight="1"/>
    <x:row r="256" ht="15.75" customHeight="1"/>
    <x:row r="257" ht="15.75" customHeight="1"/>
    <x:row r="258" ht="15.75" customHeight="1"/>
    <x:row r="259" ht="15.75" customHeight="1"/>
    <x:row r="260" ht="15.75" customHeight="1"/>
    <x:row r="261" ht="15.75" customHeight="1"/>
    <x:row r="262" ht="15.75" customHeight="1"/>
    <x:row r="263" ht="15.75" customHeight="1"/>
    <x:row r="264" ht="15.75" customHeight="1"/>
    <x:row r="265" ht="15.75" customHeight="1"/>
    <x:row r="266" ht="15.75" customHeight="1"/>
    <x:row r="267" ht="15.75" customHeight="1"/>
    <x:row r="268" ht="15.75" customHeight="1"/>
    <x:row r="269" ht="15.75" customHeight="1"/>
    <x:row r="270" ht="15.75" customHeight="1"/>
    <x:row r="271" ht="15.75" customHeight="1"/>
    <x:row r="272" ht="15.75" customHeight="1"/>
    <x:row r="273" ht="15.75" customHeight="1"/>
    <x:row r="274" ht="15.75" customHeight="1"/>
    <x:row r="275" ht="15.75" customHeight="1"/>
    <x:row r="276" ht="15.75" customHeight="1"/>
    <x:row r="277" ht="15.75" customHeight="1"/>
    <x:row r="278" ht="15.75" customHeight="1"/>
    <x:row r="279" ht="15.75" customHeight="1"/>
    <x:row r="280" ht="15.75" customHeight="1"/>
    <x:row r="281" ht="15.75" customHeight="1"/>
    <x:row r="282" ht="15.75" customHeight="1"/>
    <x:row r="283" ht="15.75" customHeight="1"/>
    <x:row r="284" ht="15.75" customHeight="1"/>
    <x:row r="285" ht="15.75" customHeight="1"/>
    <x:row r="286" ht="15.75" customHeight="1"/>
    <x:row r="287" ht="15.75" customHeight="1"/>
    <x:row r="288" ht="15.75" customHeight="1"/>
    <x:row r="289" ht="15.75" customHeight="1"/>
    <x:row r="290" ht="15.75" customHeight="1"/>
    <x:row r="291" ht="15.75" customHeight="1"/>
    <x:row r="292" ht="15.75" customHeight="1"/>
    <x:row r="293" ht="15.75" customHeight="1"/>
    <x:row r="294" ht="15.75" customHeight="1"/>
    <x:row r="295" ht="15.75" customHeight="1"/>
    <x:row r="296" ht="15.75" customHeight="1"/>
    <x:row r="297" ht="15.75" customHeight="1"/>
    <x:row r="298" ht="15.75" customHeight="1"/>
    <x:row r="299" ht="15.75" customHeight="1"/>
    <x:row r="300" ht="15.75" customHeight="1"/>
    <x:row r="301" ht="15.75" customHeight="1"/>
    <x:row r="302" ht="15.75" customHeight="1"/>
    <x:row r="303" ht="15.75" customHeight="1"/>
    <x:row r="304" ht="15.75" customHeight="1"/>
    <x:row r="305" ht="15.75" customHeight="1"/>
    <x:row r="306" ht="15.75" customHeight="1"/>
    <x:row r="307" ht="15.75" customHeight="1"/>
    <x:row r="308" ht="15.75" customHeight="1"/>
    <x:row r="309" ht="15.75" customHeight="1"/>
    <x:row r="310" ht="15.75" customHeight="1"/>
    <x:row r="311" ht="15.75" customHeight="1"/>
    <x:row r="312" ht="15.75" customHeight="1"/>
    <x:row r="313" ht="15.75" customHeight="1"/>
    <x:row r="314" ht="15.75" customHeight="1"/>
    <x:row r="315" ht="15.75" customHeight="1"/>
    <x:row r="316" ht="15.75" customHeight="1"/>
    <x:row r="317" ht="15.75" customHeight="1"/>
    <x:row r="318" ht="15.75" customHeight="1"/>
    <x:row r="319" ht="15.75" customHeight="1"/>
    <x:row r="320" ht="15.75" customHeight="1"/>
    <x:row r="321" ht="15.75" customHeight="1"/>
    <x:row r="322" ht="15.75" customHeight="1"/>
    <x:row r="323" ht="15.75" customHeight="1"/>
    <x:row r="324" ht="15.75" customHeight="1"/>
    <x:row r="325" ht="15.75" customHeight="1"/>
    <x:row r="326" ht="15.75" customHeight="1"/>
    <x:row r="327" ht="15.75" customHeight="1"/>
    <x:row r="328" ht="15.75" customHeight="1"/>
    <x:row r="329" ht="15.75" customHeight="1"/>
    <x:row r="330" ht="15.75" customHeight="1"/>
    <x:row r="331" ht="15.75" customHeight="1"/>
    <x:row r="332" ht="15.75" customHeight="1"/>
    <x:row r="333" ht="15.75" customHeight="1"/>
    <x:row r="334" ht="15.75" customHeight="1"/>
    <x:row r="335" ht="15.75" customHeight="1"/>
    <x:row r="336" ht="15.75" customHeight="1"/>
    <x:row r="337" ht="15.75" customHeight="1"/>
    <x:row r="338" ht="15.75" customHeight="1"/>
    <x:row r="339" ht="15.75" customHeight="1"/>
    <x:row r="340" ht="15.75" customHeight="1"/>
    <x:row r="341" ht="15.75" customHeight="1"/>
    <x:row r="342" ht="15.75" customHeight="1"/>
    <x:row r="343" ht="15.75" customHeight="1"/>
    <x:row r="344" ht="15.75" customHeight="1"/>
    <x:row r="345" ht="15.75" customHeight="1"/>
    <x:row r="346" ht="15.75" customHeight="1"/>
    <x:row r="347" ht="15.75" customHeight="1"/>
    <x:row r="348" ht="15.75" customHeight="1"/>
    <x:row r="349" ht="15.75" customHeight="1"/>
    <x:row r="350" ht="15.75" customHeight="1"/>
    <x:row r="351" ht="15.75" customHeight="1"/>
    <x:row r="352" ht="15.75" customHeight="1"/>
    <x:row r="353" ht="15.75" customHeight="1"/>
    <x:row r="354" ht="15.75" customHeight="1"/>
    <x:row r="355" ht="15.75" customHeight="1"/>
    <x:row r="356" ht="15.75" customHeight="1"/>
    <x:row r="357" ht="15.75" customHeight="1"/>
    <x:row r="358" ht="15.75" customHeight="1"/>
    <x:row r="359" ht="15.75" customHeight="1"/>
    <x:row r="360" ht="15.75" customHeight="1"/>
    <x:row r="361" ht="15.75" customHeight="1"/>
    <x:row r="362" ht="15.75" customHeight="1"/>
    <x:row r="363" ht="15.75" customHeight="1"/>
    <x:row r="364" ht="15.75" customHeight="1"/>
    <x:row r="365" ht="15.75" customHeight="1"/>
    <x:row r="366" ht="15.75" customHeight="1"/>
    <x:row r="367" ht="15.75" customHeight="1"/>
    <x:row r="368" ht="15.75" customHeight="1"/>
    <x:row r="369" ht="15.75" customHeight="1"/>
    <x:row r="370" ht="15.75" customHeight="1"/>
    <x:row r="371" ht="15.75" customHeight="1"/>
    <x:row r="372" ht="15.75" customHeight="1"/>
    <x:row r="373" ht="15.75" customHeight="1"/>
    <x:row r="374" ht="15.75" customHeight="1"/>
    <x:row r="375" ht="15.75" customHeight="1"/>
    <x:row r="376" ht="15.75" customHeight="1"/>
    <x:row r="377" ht="15.75" customHeight="1"/>
    <x:row r="378" ht="15.75" customHeight="1"/>
    <x:row r="379" ht="15.75" customHeight="1"/>
    <x:row r="380" ht="15.75" customHeight="1"/>
    <x:row r="381" ht="15.75" customHeight="1"/>
    <x:row r="382" ht="15.75" customHeight="1"/>
    <x:row r="383" ht="15.75" customHeight="1"/>
    <x:row r="384" ht="15.75" customHeight="1"/>
    <x:row r="385" ht="15.75" customHeight="1"/>
    <x:row r="386" ht="15.75" customHeight="1"/>
    <x:row r="387" ht="15.75" customHeight="1"/>
    <x:row r="388" ht="15.75" customHeight="1"/>
    <x:row r="389" ht="15.75" customHeight="1"/>
    <x:row r="390" ht="15.75" customHeight="1"/>
    <x:row r="391" ht="15.75" customHeight="1"/>
    <x:row r="392" ht="15.75" customHeight="1"/>
    <x:row r="393" ht="15.75" customHeight="1"/>
    <x:row r="394" ht="15.75" customHeight="1"/>
    <x:row r="395" ht="15.75" customHeight="1"/>
    <x:row r="396" ht="15.75" customHeight="1"/>
    <x:row r="397" ht="15.75" customHeight="1"/>
    <x:row r="398" ht="15.75" customHeight="1"/>
    <x:row r="399" ht="15.75" customHeight="1"/>
    <x:row r="400" ht="15.75" customHeight="1"/>
    <x:row r="401" ht="15.75" customHeight="1"/>
    <x:row r="402" ht="15.75" customHeight="1"/>
    <x:row r="403" ht="15.75" customHeight="1"/>
    <x:row r="404" ht="15.75" customHeight="1"/>
    <x:row r="405" ht="15.75" customHeight="1"/>
    <x:row r="406" ht="15.75" customHeight="1"/>
    <x:row r="407" ht="15.75" customHeight="1"/>
    <x:row r="408" ht="15.75" customHeight="1"/>
    <x:row r="409" ht="15.75" customHeight="1"/>
    <x:row r="410" ht="15.75" customHeight="1"/>
    <x:row r="411" ht="15.75" customHeight="1"/>
    <x:row r="412" ht="15.75" customHeight="1"/>
    <x:row r="413" ht="15.75" customHeight="1"/>
    <x:row r="414" ht="15.75" customHeight="1"/>
    <x:row r="415" ht="15.75" customHeight="1"/>
    <x:row r="416" ht="15.75" customHeight="1"/>
    <x:row r="417" ht="15.75" customHeight="1"/>
    <x:row r="418" ht="15.75" customHeight="1"/>
    <x:row r="419" ht="15.75" customHeight="1"/>
    <x:row r="420" ht="15.75" customHeight="1"/>
    <x:row r="421" ht="15.75" customHeight="1"/>
    <x:row r="422" ht="15.75" customHeight="1"/>
    <x:row r="423" ht="15.75" customHeight="1"/>
    <x:row r="424" ht="15.75" customHeight="1"/>
    <x:row r="425" ht="15.75" customHeight="1"/>
    <x:row r="426" ht="15.75" customHeight="1"/>
    <x:row r="427" ht="15.75" customHeight="1"/>
    <x:row r="428" ht="15.75" customHeight="1"/>
    <x:row r="429" ht="15.75" customHeight="1"/>
    <x:row r="430" ht="15.75" customHeight="1"/>
    <x:row r="431" ht="15.75" customHeight="1"/>
    <x:row r="432" ht="15.75" customHeight="1"/>
    <x:row r="433" ht="15.75" customHeight="1"/>
    <x:row r="434" ht="15.75" customHeight="1"/>
    <x:row r="435" ht="15.75" customHeight="1"/>
    <x:row r="436" ht="15.75" customHeight="1"/>
    <x:row r="437" ht="15.75" customHeight="1"/>
    <x:row r="438" ht="15.75" customHeight="1"/>
    <x:row r="439" ht="15.75" customHeight="1"/>
    <x:row r="440" ht="15.75" customHeight="1"/>
    <x:row r="441" ht="15.75" customHeight="1"/>
    <x:row r="442" ht="15.75" customHeight="1"/>
    <x:row r="443" ht="15.75" customHeight="1"/>
    <x:row r="444" ht="15.75" customHeight="1"/>
    <x:row r="445" ht="15.75" customHeight="1"/>
    <x:row r="446" ht="15.75" customHeight="1"/>
    <x:row r="447" ht="15.75" customHeight="1"/>
    <x:row r="448" ht="15.75" customHeight="1"/>
    <x:row r="449" ht="15.75" customHeight="1"/>
    <x:row r="450" ht="15.75" customHeight="1"/>
    <x:row r="451" ht="15.75" customHeight="1"/>
    <x:row r="452" ht="15.75" customHeight="1"/>
    <x:row r="453" ht="15.75" customHeight="1"/>
    <x:row r="454" ht="15.75" customHeight="1"/>
    <x:row r="455" ht="15.75" customHeight="1"/>
    <x:row r="456" ht="15.75" customHeight="1"/>
    <x:row r="457" ht="15.75" customHeight="1"/>
    <x:row r="458" ht="15.75" customHeight="1"/>
    <x:row r="459" ht="15.75" customHeight="1"/>
    <x:row r="460" ht="15.75" customHeight="1"/>
    <x:row r="461" ht="15.75" customHeight="1"/>
    <x:row r="462" ht="15.75" customHeight="1"/>
    <x:row r="463" ht="15.75" customHeight="1"/>
    <x:row r="464" ht="15.75" customHeight="1"/>
    <x:row r="465" ht="15.75" customHeight="1"/>
    <x:row r="466" ht="15.75" customHeight="1"/>
    <x:row r="467" ht="15.75" customHeight="1"/>
    <x:row r="468" ht="15.75" customHeight="1"/>
    <x:row r="469" ht="15.75" customHeight="1"/>
    <x:row r="470" ht="15.75" customHeight="1"/>
    <x:row r="471" ht="15.75" customHeight="1"/>
    <x:row r="472" ht="15.75" customHeight="1"/>
    <x:row r="473" ht="15.75" customHeight="1"/>
    <x:row r="474" ht="15.75" customHeight="1"/>
    <x:row r="475" ht="15.75" customHeight="1"/>
    <x:row r="476" ht="15.75" customHeight="1"/>
    <x:row r="477" ht="15.75" customHeight="1"/>
    <x:row r="478" ht="15.75" customHeight="1"/>
    <x:row r="479" ht="15.75" customHeight="1"/>
    <x:row r="480" ht="15.75" customHeight="1"/>
    <x:row r="481" ht="15.75" customHeight="1"/>
    <x:row r="482" ht="15.75" customHeight="1"/>
    <x:row r="483" ht="15.75" customHeight="1"/>
    <x:row r="484" ht="15.75" customHeight="1"/>
    <x:row r="485" ht="15.75" customHeight="1"/>
    <x:row r="486" ht="15.75" customHeight="1"/>
    <x:row r="487" ht="15.75" customHeight="1"/>
    <x:row r="488" ht="15.75" customHeight="1"/>
    <x:row r="489" ht="15.75" customHeight="1"/>
    <x:row r="490" ht="15.75" customHeight="1"/>
    <x:row r="491" ht="15.75" customHeight="1"/>
    <x:row r="492" ht="15.75" customHeight="1"/>
    <x:row r="493" ht="15.75" customHeight="1"/>
    <x:row r="494" ht="15.75" customHeight="1"/>
    <x:row r="495" ht="15.75" customHeight="1"/>
    <x:row r="496" ht="15.75" customHeight="1"/>
    <x:row r="497" ht="15.75" customHeight="1"/>
    <x:row r="498" ht="15.75" customHeight="1"/>
    <x:row r="499" ht="15.75" customHeight="1"/>
    <x:row r="500" ht="15.75" customHeight="1"/>
    <x:row r="501" ht="15.75" customHeight="1"/>
    <x:row r="502" ht="15.75" customHeight="1"/>
    <x:row r="503" ht="15.75" customHeight="1"/>
    <x:row r="504" ht="15.75" customHeight="1"/>
    <x:row r="505" ht="15.75" customHeight="1"/>
    <x:row r="506" ht="15.75" customHeight="1"/>
    <x:row r="507" ht="15.75" customHeight="1"/>
    <x:row r="508" ht="15.75" customHeight="1"/>
    <x:row r="509" ht="15.75" customHeight="1"/>
    <x:row r="510" ht="15.75" customHeight="1"/>
    <x:row r="511" ht="15.75" customHeight="1"/>
    <x:row r="512" ht="15.75" customHeight="1"/>
    <x:row r="513" ht="15.75" customHeight="1"/>
    <x:row r="514" ht="15.75" customHeight="1"/>
    <x:row r="515" ht="15.75" customHeight="1"/>
    <x:row r="516" ht="15.75" customHeight="1"/>
    <x:row r="517" ht="15.75" customHeight="1"/>
    <x:row r="518" ht="15.75" customHeight="1"/>
    <x:row r="519" ht="15.75" customHeight="1"/>
    <x:row r="520" ht="15.75" customHeight="1"/>
    <x:row r="521" ht="15.75" customHeight="1"/>
    <x:row r="522" ht="15.75" customHeight="1"/>
    <x:row r="523" ht="15.75" customHeight="1"/>
    <x:row r="524" ht="15.75" customHeight="1"/>
    <x:row r="525" ht="15.75" customHeight="1"/>
    <x:row r="526" ht="15.75" customHeight="1"/>
    <x:row r="527" ht="15.75" customHeight="1"/>
    <x:row r="528" ht="15.75" customHeight="1"/>
    <x:row r="529" ht="15.75" customHeight="1"/>
    <x:row r="530" ht="15.75" customHeight="1"/>
    <x:row r="531" ht="15.75" customHeight="1"/>
    <x:row r="532" ht="15.75" customHeight="1"/>
    <x:row r="533" ht="15.75" customHeight="1"/>
    <x:row r="534" ht="15.75" customHeight="1"/>
    <x:row r="535" ht="15.75" customHeight="1"/>
    <x:row r="536" ht="15.75" customHeight="1"/>
    <x:row r="537" ht="15.75" customHeight="1"/>
    <x:row r="538" ht="15.75" customHeight="1"/>
    <x:row r="539" ht="15.75" customHeight="1"/>
    <x:row r="540" ht="15.75" customHeight="1"/>
    <x:row r="541" ht="15.75" customHeight="1"/>
    <x:row r="542" ht="15.75" customHeight="1"/>
    <x:row r="543" ht="15.75" customHeight="1"/>
    <x:row r="544" ht="15.75" customHeight="1"/>
    <x:row r="545" ht="15.75" customHeight="1"/>
    <x:row r="546" ht="15.75" customHeight="1"/>
    <x:row r="547" ht="15.75" customHeight="1"/>
    <x:row r="548" ht="15.75" customHeight="1"/>
    <x:row r="549" ht="15.75" customHeight="1"/>
    <x:row r="550" ht="15.75" customHeight="1"/>
    <x:row r="551" ht="15.75" customHeight="1"/>
    <x:row r="552" ht="15.75" customHeight="1"/>
    <x:row r="553" ht="15.75" customHeight="1"/>
    <x:row r="554" ht="15.75" customHeight="1"/>
    <x:row r="555" ht="15.75" customHeight="1"/>
    <x:row r="556" ht="15.75" customHeight="1"/>
    <x:row r="557" ht="15.75" customHeight="1"/>
    <x:row r="558" ht="15.75" customHeight="1"/>
    <x:row r="559" ht="15.75" customHeight="1"/>
    <x:row r="560" ht="15.75" customHeight="1"/>
    <x:row r="561" ht="15.75" customHeight="1"/>
    <x:row r="562" ht="15.75" customHeight="1"/>
    <x:row r="563" ht="15.75" customHeight="1"/>
    <x:row r="564" ht="15.75" customHeight="1"/>
    <x:row r="565" ht="15.75" customHeight="1"/>
    <x:row r="566" ht="15.75" customHeight="1"/>
    <x:row r="567" ht="15.75" customHeight="1"/>
    <x:row r="568" ht="15.75" customHeight="1"/>
    <x:row r="569" ht="15.75" customHeight="1"/>
    <x:row r="570" ht="15.75" customHeight="1"/>
    <x:row r="571" ht="15.75" customHeight="1"/>
    <x:row r="572" ht="15.75" customHeight="1"/>
    <x:row r="573" ht="15.75" customHeight="1"/>
    <x:row r="574" ht="15.75" customHeight="1"/>
    <x:row r="575" ht="15.75" customHeight="1"/>
    <x:row r="576" ht="15.75" customHeight="1"/>
    <x:row r="577" ht="15.75" customHeight="1"/>
    <x:row r="578" ht="15.75" customHeight="1"/>
    <x:row r="579" ht="15.75" customHeight="1"/>
    <x:row r="580" ht="15.75" customHeight="1"/>
    <x:row r="581" ht="15.75" customHeight="1"/>
    <x:row r="582" ht="15.75" customHeight="1"/>
    <x:row r="583" ht="15.75" customHeight="1"/>
    <x:row r="584" ht="15.75" customHeight="1"/>
    <x:row r="585" ht="15.75" customHeight="1"/>
    <x:row r="586" ht="15.75" customHeight="1"/>
    <x:row r="587" ht="15.75" customHeight="1"/>
    <x:row r="588" ht="15.75" customHeight="1"/>
    <x:row r="589" ht="15.75" customHeight="1"/>
    <x:row r="590" ht="15.75" customHeight="1"/>
    <x:row r="591" ht="15.75" customHeight="1"/>
    <x:row r="592" ht="15.75" customHeight="1"/>
    <x:row r="593" ht="15.75" customHeight="1"/>
    <x:row r="594" ht="15.75" customHeight="1"/>
    <x:row r="595" ht="15.75" customHeight="1"/>
    <x:row r="596" ht="15.75" customHeight="1"/>
    <x:row r="597" ht="15.75" customHeight="1"/>
    <x:row r="598" ht="15.75" customHeight="1"/>
    <x:row r="599" ht="15.75" customHeight="1"/>
    <x:row r="600" ht="15.75" customHeight="1"/>
    <x:row r="601" ht="15.75" customHeight="1"/>
    <x:row r="602" ht="15.75" customHeight="1"/>
    <x:row r="603" ht="15.75" customHeight="1"/>
    <x:row r="604" ht="15.75" customHeight="1"/>
    <x:row r="605" ht="15.75" customHeight="1"/>
    <x:row r="606" ht="15.75" customHeight="1"/>
    <x:row r="607" ht="15.75" customHeight="1"/>
    <x:row r="608" ht="15.75" customHeight="1"/>
    <x:row r="609" ht="15.75" customHeight="1"/>
    <x:row r="610" ht="15.75" customHeight="1"/>
    <x:row r="611" ht="15.75" customHeight="1"/>
    <x:row r="612" ht="15.75" customHeight="1"/>
    <x:row r="613" ht="15.75" customHeight="1"/>
    <x:row r="614" ht="15.75" customHeight="1"/>
    <x:row r="615" ht="15.75" customHeight="1"/>
    <x:row r="616" ht="15.75" customHeight="1"/>
    <x:row r="617" ht="15.75" customHeight="1"/>
    <x:row r="618" ht="15.75" customHeight="1"/>
    <x:row r="619" ht="15.75" customHeight="1"/>
    <x:row r="620" ht="15.75" customHeight="1"/>
    <x:row r="621" ht="15.75" customHeight="1"/>
    <x:row r="622" ht="15.75" customHeight="1"/>
    <x:row r="623" ht="15.75" customHeight="1"/>
    <x:row r="624" ht="15.75" customHeight="1"/>
    <x:row r="625" ht="15.75" customHeight="1"/>
    <x:row r="626" ht="15.75" customHeight="1"/>
    <x:row r="627" ht="15.75" customHeight="1"/>
    <x:row r="628" ht="15.75" customHeight="1"/>
    <x:row r="629" ht="15.75" customHeight="1"/>
    <x:row r="630" ht="15.75" customHeight="1"/>
    <x:row r="631" ht="15.75" customHeight="1"/>
    <x:row r="632" ht="15.75" customHeight="1"/>
    <x:row r="633" ht="15.75" customHeight="1"/>
    <x:row r="634" ht="15.75" customHeight="1"/>
    <x:row r="635" ht="15.75" customHeight="1"/>
    <x:row r="636" ht="15.75" customHeight="1"/>
    <x:row r="637" ht="15.75" customHeight="1"/>
    <x:row r="638" ht="15.75" customHeight="1"/>
    <x:row r="639" ht="15.75" customHeight="1"/>
    <x:row r="640" ht="15.75" customHeight="1"/>
    <x:row r="641" ht="15.75" customHeight="1"/>
    <x:row r="642" ht="15.75" customHeight="1"/>
    <x:row r="643" ht="15.75" customHeight="1"/>
    <x:row r="644" ht="15.75" customHeight="1"/>
    <x:row r="645" ht="15.75" customHeight="1"/>
    <x:row r="646" ht="15.75" customHeight="1"/>
    <x:row r="647" ht="15.75" customHeight="1"/>
    <x:row r="648" ht="15.75" customHeight="1"/>
    <x:row r="649" ht="15.75" customHeight="1"/>
    <x:row r="650" ht="15.75" customHeight="1"/>
    <x:row r="651" ht="15.75" customHeight="1"/>
    <x:row r="652" ht="15.75" customHeight="1"/>
    <x:row r="653" ht="15.75" customHeight="1"/>
    <x:row r="654" ht="15.75" customHeight="1"/>
    <x:row r="655" ht="15.75" customHeight="1"/>
    <x:row r="656" ht="15.75" customHeight="1"/>
    <x:row r="657" ht="15.75" customHeight="1"/>
    <x:row r="658" ht="15.75" customHeight="1"/>
    <x:row r="659" ht="15.75" customHeight="1"/>
    <x:row r="660" ht="15.75" customHeight="1"/>
    <x:row r="661" ht="15.75" customHeight="1"/>
    <x:row r="662" ht="15.75" customHeight="1"/>
    <x:row r="663" ht="15.75" customHeight="1"/>
    <x:row r="664" ht="15.75" customHeight="1"/>
    <x:row r="665" ht="15.75" customHeight="1"/>
    <x:row r="666" ht="15.75" customHeight="1"/>
    <x:row r="667" ht="15.75" customHeight="1"/>
    <x:row r="668" ht="15.75" customHeight="1"/>
    <x:row r="669" ht="15.75" customHeight="1"/>
    <x:row r="670" ht="15.75" customHeight="1"/>
    <x:row r="671" ht="15.75" customHeight="1"/>
    <x:row r="672" ht="15.75" customHeight="1"/>
    <x:row r="673" ht="15.75" customHeight="1"/>
    <x:row r="674" ht="15.75" customHeight="1"/>
    <x:row r="675" ht="15.75" customHeight="1"/>
    <x:row r="676" ht="15.75" customHeight="1"/>
    <x:row r="677" ht="15.75" customHeight="1"/>
    <x:row r="678" ht="15.75" customHeight="1"/>
    <x:row r="679" ht="15.75" customHeight="1"/>
    <x:row r="680" ht="15.75" customHeight="1"/>
    <x:row r="681" ht="15.75" customHeight="1"/>
    <x:row r="682" ht="15.75" customHeight="1"/>
    <x:row r="683" ht="15.75" customHeight="1"/>
    <x:row r="684" ht="15.75" customHeight="1"/>
    <x:row r="685" ht="15.75" customHeight="1"/>
    <x:row r="686" ht="15.75" customHeight="1"/>
    <x:row r="687" ht="15.75" customHeight="1"/>
    <x:row r="688" ht="15.75" customHeight="1"/>
    <x:row r="689" ht="15.75" customHeight="1"/>
    <x:row r="690" ht="15.75" customHeight="1"/>
    <x:row r="691" ht="15.75" customHeight="1"/>
    <x:row r="692" ht="15.75" customHeight="1"/>
    <x:row r="693" ht="15.75" customHeight="1"/>
    <x:row r="694" ht="15.75" customHeight="1"/>
    <x:row r="695" ht="15.75" customHeight="1"/>
    <x:row r="696" ht="15.75" customHeight="1"/>
    <x:row r="697" ht="15.75" customHeight="1"/>
    <x:row r="698" ht="15.75" customHeight="1"/>
    <x:row r="699" ht="15.75" customHeight="1"/>
    <x:row r="700" ht="15.75" customHeight="1"/>
    <x:row r="701" ht="15.75" customHeight="1"/>
    <x:row r="702" ht="15.75" customHeight="1"/>
    <x:row r="703" ht="15.75" customHeight="1"/>
    <x:row r="704" ht="15.75" customHeight="1"/>
    <x:row r="705" ht="15.75" customHeight="1"/>
    <x:row r="706" ht="15.75" customHeight="1"/>
    <x:row r="707" ht="15.75" customHeight="1"/>
    <x:row r="708" ht="15.75" customHeight="1"/>
    <x:row r="709" ht="15.75" customHeight="1"/>
    <x:row r="710" ht="15.75" customHeight="1"/>
    <x:row r="711" ht="15.75" customHeight="1"/>
    <x:row r="712" ht="15.75" customHeight="1"/>
    <x:row r="713" ht="15.75" customHeight="1"/>
    <x:row r="714" ht="15.75" customHeight="1"/>
    <x:row r="715" ht="15.75" customHeight="1"/>
    <x:row r="716" ht="15.75" customHeight="1"/>
    <x:row r="717" ht="15.75" customHeight="1"/>
    <x:row r="718" ht="15.75" customHeight="1"/>
    <x:row r="719" ht="15.75" customHeight="1"/>
    <x:row r="720" ht="15.75" customHeight="1"/>
    <x:row r="721" ht="15.75" customHeight="1"/>
    <x:row r="722" ht="15.75" customHeight="1"/>
    <x:row r="723" ht="15.75" customHeight="1"/>
    <x:row r="724" ht="15.75" customHeight="1"/>
    <x:row r="725" ht="15.75" customHeight="1"/>
    <x:row r="726" ht="15.75" customHeight="1"/>
    <x:row r="727" ht="15.75" customHeight="1"/>
    <x:row r="728" ht="15.75" customHeight="1"/>
    <x:row r="729" ht="15.75" customHeight="1"/>
    <x:row r="730" ht="15.75" customHeight="1"/>
    <x:row r="731" ht="15.75" customHeight="1"/>
    <x:row r="732" ht="15.75" customHeight="1"/>
    <x:row r="733" ht="15.75" customHeight="1"/>
    <x:row r="734" ht="15.75" customHeight="1"/>
    <x:row r="735" ht="15.75" customHeight="1"/>
    <x:row r="736" ht="15.75" customHeight="1"/>
    <x:row r="737" ht="15.75" customHeight="1"/>
    <x:row r="738" ht="15.75" customHeight="1"/>
    <x:row r="739" ht="15.75" customHeight="1"/>
    <x:row r="740" ht="15.75" customHeight="1"/>
    <x:row r="741" ht="15.75" customHeight="1"/>
    <x:row r="742" ht="15.75" customHeight="1"/>
    <x:row r="743" ht="15.75" customHeight="1"/>
    <x:row r="744" ht="15.75" customHeight="1"/>
    <x:row r="745" ht="15.75" customHeight="1"/>
    <x:row r="746" ht="15.75" customHeight="1"/>
    <x:row r="747" ht="15.75" customHeight="1"/>
    <x:row r="748" ht="15.75" customHeight="1"/>
    <x:row r="749" ht="15.75" customHeight="1"/>
    <x:row r="750" ht="15.75" customHeight="1"/>
    <x:row r="751" ht="15.75" customHeight="1"/>
    <x:row r="752" ht="15.75" customHeight="1"/>
    <x:row r="753" ht="15.75" customHeight="1"/>
    <x:row r="754" ht="15.75" customHeight="1"/>
    <x:row r="755" ht="15.75" customHeight="1"/>
    <x:row r="756" ht="15.75" customHeight="1"/>
    <x:row r="757" ht="15.75" customHeight="1"/>
    <x:row r="758" ht="15.75" customHeight="1"/>
    <x:row r="759" ht="15.75" customHeight="1"/>
    <x:row r="760" ht="15.75" customHeight="1"/>
    <x:row r="761" ht="15.75" customHeight="1"/>
    <x:row r="762" ht="15.75" customHeight="1"/>
    <x:row r="763" ht="15.75" customHeight="1"/>
    <x:row r="764" ht="15.75" customHeight="1"/>
    <x:row r="765" ht="15.75" customHeight="1"/>
    <x:row r="766" ht="15.75" customHeight="1"/>
    <x:row r="767" ht="15.75" customHeight="1"/>
    <x:row r="768" ht="15.75" customHeight="1"/>
    <x:row r="769" ht="15.75" customHeight="1"/>
    <x:row r="770" ht="15.75" customHeight="1"/>
    <x:row r="771" ht="15.75" customHeight="1"/>
    <x:row r="772" ht="15.75" customHeight="1"/>
    <x:row r="773" ht="15.75" customHeight="1"/>
    <x:row r="774" ht="15.75" customHeight="1"/>
    <x:row r="775" ht="15.75" customHeight="1"/>
    <x:row r="776" ht="15.75" customHeight="1"/>
    <x:row r="777" ht="15.75" customHeight="1"/>
    <x:row r="778" ht="15.75" customHeight="1"/>
    <x:row r="779" ht="15.75" customHeight="1"/>
    <x:row r="780" ht="15.75" customHeight="1"/>
    <x:row r="781" ht="15.75" customHeight="1"/>
    <x:row r="782" ht="15.75" customHeight="1"/>
    <x:row r="783" ht="15.75" customHeight="1"/>
    <x:row r="784" ht="15.75" customHeight="1"/>
    <x:row r="785" ht="15.75" customHeight="1"/>
    <x:row r="786" ht="15.75" customHeight="1"/>
    <x:row r="787" ht="15.75" customHeight="1"/>
    <x:row r="788" ht="15.75" customHeight="1"/>
    <x:row r="789" ht="15.75" customHeight="1"/>
    <x:row r="790" ht="15.75" customHeight="1"/>
    <x:row r="791" ht="15.75" customHeight="1"/>
    <x:row r="792" ht="15.75" customHeight="1"/>
    <x:row r="793" ht="15.75" customHeight="1"/>
    <x:row r="794" ht="15.75" customHeight="1"/>
    <x:row r="795" ht="15.75" customHeight="1"/>
    <x:row r="796" ht="15.75" customHeight="1"/>
    <x:row r="797" ht="15.75" customHeight="1"/>
    <x:row r="798" ht="15.75" customHeight="1"/>
    <x:row r="799" ht="15.75" customHeight="1"/>
    <x:row r="800" ht="15.75" customHeight="1"/>
    <x:row r="801" ht="15.75" customHeight="1"/>
    <x:row r="802" ht="15.75" customHeight="1"/>
    <x:row r="803" ht="15.75" customHeight="1"/>
    <x:row r="804" ht="15.75" customHeight="1"/>
    <x:row r="805" ht="15.75" customHeight="1"/>
    <x:row r="806" ht="15.75" customHeight="1"/>
    <x:row r="807" ht="15.75" customHeight="1"/>
    <x:row r="808" ht="15.75" customHeight="1"/>
    <x:row r="809" ht="15.75" customHeight="1"/>
    <x:row r="810" ht="15.75" customHeight="1"/>
    <x:row r="811" ht="15.75" customHeight="1"/>
    <x:row r="812" ht="15.75" customHeight="1"/>
    <x:row r="813" ht="15.75" customHeight="1"/>
    <x:row r="814" ht="15.75" customHeight="1"/>
    <x:row r="815" ht="15.75" customHeight="1"/>
    <x:row r="816" ht="15.75" customHeight="1"/>
    <x:row r="817" ht="15.75" customHeight="1"/>
    <x:row r="818" ht="15.75" customHeight="1"/>
    <x:row r="819" ht="15.75" customHeight="1"/>
    <x:row r="820" ht="15.75" customHeight="1"/>
    <x:row r="821" ht="15.75" customHeight="1"/>
    <x:row r="822" ht="15.75" customHeight="1"/>
    <x:row r="823" ht="15.75" customHeight="1"/>
    <x:row r="824" ht="15.75" customHeight="1"/>
    <x:row r="825" ht="15.75" customHeight="1"/>
    <x:row r="826" ht="15.75" customHeight="1"/>
    <x:row r="827" ht="15.75" customHeight="1"/>
    <x:row r="828" ht="15.75" customHeight="1"/>
    <x:row r="829" ht="15.75" customHeight="1"/>
    <x:row r="830" ht="15.75" customHeight="1"/>
    <x:row r="831" ht="15.75" customHeight="1"/>
    <x:row r="832" ht="15.75" customHeight="1"/>
    <x:row r="833" ht="15.75" customHeight="1"/>
    <x:row r="834" ht="15.75" customHeight="1"/>
    <x:row r="835" ht="15.75" customHeight="1"/>
    <x:row r="836" ht="15.75" customHeight="1"/>
    <x:row r="837" ht="15.75" customHeight="1"/>
    <x:row r="838" ht="15.75" customHeight="1"/>
    <x:row r="839" ht="15.75" customHeight="1"/>
    <x:row r="840" ht="15.75" customHeight="1"/>
    <x:row r="841" ht="15.75" customHeight="1"/>
    <x:row r="842" ht="15.75" customHeight="1"/>
    <x:row r="843" ht="15.75" customHeight="1"/>
    <x:row r="844" ht="15.75" customHeight="1"/>
    <x:row r="845" ht="15.75" customHeight="1"/>
    <x:row r="846" ht="15.75" customHeight="1"/>
    <x:row r="847" ht="15.75" customHeight="1"/>
    <x:row r="848" ht="15.75" customHeight="1"/>
    <x:row r="849" ht="15.75" customHeight="1"/>
    <x:row r="850" ht="15.75" customHeight="1"/>
    <x:row r="851" ht="15.75" customHeight="1"/>
    <x:row r="852" ht="15.75" customHeight="1"/>
    <x:row r="853" ht="15.75" customHeight="1"/>
    <x:row r="854" ht="15.75" customHeight="1"/>
    <x:row r="855" ht="15.75" customHeight="1"/>
    <x:row r="856" ht="15.75" customHeight="1"/>
    <x:row r="857" ht="15.75" customHeight="1"/>
    <x:row r="858" ht="15.75" customHeight="1"/>
    <x:row r="859" ht="15.75" customHeight="1"/>
    <x:row r="860" ht="15.75" customHeight="1"/>
    <x:row r="861" ht="15.75" customHeight="1"/>
    <x:row r="862" ht="15.75" customHeight="1"/>
    <x:row r="863" ht="15.75" customHeight="1"/>
    <x:row r="864" ht="15.75" customHeight="1"/>
    <x:row r="865" ht="15.75" customHeight="1"/>
    <x:row r="866" ht="15.75" customHeight="1"/>
    <x:row r="867" ht="15.75" customHeight="1"/>
    <x:row r="868" ht="15.75" customHeight="1"/>
    <x:row r="869" ht="15.75" customHeight="1"/>
    <x:row r="870" ht="15.75" customHeight="1"/>
    <x:row r="871" ht="15.75" customHeight="1"/>
    <x:row r="872" ht="15.75" customHeight="1"/>
    <x:row r="873" ht="15.75" customHeight="1"/>
    <x:row r="874" ht="15.75" customHeight="1"/>
    <x:row r="875" ht="15.75" customHeight="1"/>
    <x:row r="876" ht="15.75" customHeight="1"/>
    <x:row r="877" ht="15.75" customHeight="1"/>
    <x:row r="878" ht="15.75" customHeight="1"/>
    <x:row r="879" ht="15.75" customHeight="1"/>
    <x:row r="880" ht="15.75" customHeight="1"/>
    <x:row r="881" ht="15.75" customHeight="1"/>
    <x:row r="882" ht="15.75" customHeight="1"/>
    <x:row r="883" ht="15.75" customHeight="1"/>
    <x:row r="884" ht="15.75" customHeight="1"/>
    <x:row r="885" ht="15.75" customHeight="1"/>
    <x:row r="886" ht="15.75" customHeight="1"/>
    <x:row r="887" ht="15.75" customHeight="1"/>
    <x:row r="888" ht="15.75" customHeight="1"/>
    <x:row r="889" ht="15.75" customHeight="1"/>
    <x:row r="890" ht="15.75" customHeight="1"/>
    <x:row r="891" ht="15.75" customHeight="1"/>
    <x:row r="892" ht="15.75" customHeight="1"/>
    <x:row r="893" ht="15.75" customHeight="1"/>
    <x:row r="894" ht="15.75" customHeight="1"/>
    <x:row r="895" ht="15.75" customHeight="1"/>
    <x:row r="896" ht="15.75" customHeight="1"/>
    <x:row r="897" ht="15.75" customHeight="1"/>
    <x:row r="898" ht="15.75" customHeight="1"/>
    <x:row r="899" ht="15.75" customHeight="1"/>
    <x:row r="900" ht="15.75" customHeight="1"/>
    <x:row r="901" ht="15.75" customHeight="1"/>
    <x:row r="902" ht="15.75" customHeight="1"/>
    <x:row r="903" ht="15.75" customHeight="1"/>
    <x:row r="904" ht="15.75" customHeight="1"/>
    <x:row r="905" ht="15.75" customHeight="1"/>
    <x:row r="906" ht="15.75" customHeight="1"/>
    <x:row r="907" ht="15.75" customHeight="1"/>
    <x:row r="908" ht="15.75" customHeight="1"/>
    <x:row r="909" ht="15.75" customHeight="1"/>
    <x:row r="910" ht="15.75" customHeight="1"/>
    <x:row r="911" ht="15.75" customHeight="1"/>
    <x:row r="912" ht="15.75" customHeight="1"/>
    <x:row r="913" ht="15.75" customHeight="1"/>
    <x:row r="914" ht="15.75" customHeight="1"/>
    <x:row r="915" ht="15.75" customHeight="1"/>
    <x:row r="916" ht="15.75" customHeight="1"/>
    <x:row r="917" ht="15.75" customHeight="1"/>
    <x:row r="918" ht="15.75" customHeight="1"/>
    <x:row r="919" ht="15.75" customHeight="1"/>
    <x:row r="920" ht="15.75" customHeight="1"/>
    <x:row r="921" ht="15.75" customHeight="1"/>
    <x:row r="922" ht="15.75" customHeight="1"/>
    <x:row r="923" ht="15.75" customHeight="1"/>
    <x:row r="924" ht="15.75" customHeight="1"/>
    <x:row r="925" ht="15.75" customHeight="1"/>
    <x:row r="926" ht="15.75" customHeight="1"/>
    <x:row r="927" ht="15.75" customHeight="1"/>
    <x:row r="928" ht="15.75" customHeight="1"/>
    <x:row r="929" ht="15.75" customHeight="1"/>
    <x:row r="930" ht="15.75" customHeight="1"/>
    <x:row r="931" ht="15.75" customHeight="1"/>
    <x:row r="932" ht="15.75" customHeight="1"/>
    <x:row r="933" ht="15.75" customHeight="1"/>
    <x:row r="934" ht="15.75" customHeight="1"/>
    <x:row r="935" ht="15.75" customHeight="1"/>
    <x:row r="936" ht="15.75" customHeight="1"/>
    <x:row r="937" ht="15.75" customHeight="1"/>
    <x:row r="938" ht="15.75" customHeight="1"/>
    <x:row r="939" ht="15.75" customHeight="1"/>
    <x:row r="940" ht="15.75" customHeight="1"/>
    <x:row r="941" ht="15.75" customHeight="1"/>
    <x:row r="942" ht="15.75" customHeight="1"/>
    <x:row r="943" ht="15.75" customHeight="1"/>
    <x:row r="944" ht="15.75" customHeight="1"/>
    <x:row r="945" ht="15.75" customHeight="1"/>
    <x:row r="946" ht="15.75" customHeight="1"/>
    <x:row r="947" ht="15.75" customHeight="1"/>
    <x:row r="948" ht="15.75" customHeight="1"/>
    <x:row r="949" ht="15.75" customHeight="1"/>
    <x:row r="950" ht="15.75" customHeight="1"/>
    <x:row r="951" ht="15.75" customHeight="1"/>
    <x:row r="952" ht="15.75" customHeight="1"/>
    <x:row r="953" ht="15.75" customHeight="1"/>
    <x:row r="954" ht="15.75" customHeight="1"/>
    <x:row r="955" ht="15.75" customHeight="1"/>
    <x:row r="956" ht="15.75" customHeight="1"/>
    <x:row r="957" ht="15.75" customHeight="1"/>
    <x:row r="958" ht="15.75" customHeight="1"/>
    <x:row r="959" ht="15.75" customHeight="1"/>
    <x:row r="960" ht="15.75" customHeight="1"/>
    <x:row r="961" ht="15.75" customHeight="1"/>
    <x:row r="962" ht="15.75" customHeight="1"/>
    <x:row r="963" ht="15.75" customHeight="1"/>
    <x:row r="964" ht="15.75" customHeight="1"/>
    <x:row r="965" ht="15.75" customHeight="1"/>
    <x:row r="966" ht="15.75" customHeight="1"/>
    <x:row r="967" ht="15.75" customHeight="1"/>
    <x:row r="968" ht="15.75" customHeight="1"/>
    <x:row r="969" ht="15.75" customHeight="1"/>
    <x:row r="970" ht="15.75" customHeight="1"/>
    <x:row r="971" ht="15.75" customHeight="1"/>
    <x:row r="972" ht="15.75" customHeight="1"/>
    <x:row r="973" ht="15.75" customHeight="1"/>
    <x:row r="974" ht="15.75" customHeight="1"/>
    <x:row r="975" ht="15.75" customHeight="1"/>
    <x:row r="976" ht="15.75" customHeight="1"/>
    <x:row r="977" ht="15.75" customHeight="1"/>
    <x:row r="978" ht="15.75" customHeight="1"/>
    <x:row r="979" ht="15.75" customHeight="1"/>
    <x:row r="980" ht="15.75" customHeight="1"/>
    <x:row r="981" ht="15.75" customHeight="1"/>
    <x:row r="982" ht="15.75" customHeight="1"/>
    <x:row r="983" ht="15.75" customHeight="1"/>
    <x:row r="984" ht="15.75" customHeight="1"/>
    <x:row r="985" ht="15.75" customHeight="1"/>
    <x:row r="986" ht="15.75" customHeight="1"/>
    <x:row r="987" ht="15.75" customHeight="1"/>
    <x:row r="988" ht="15.75" customHeight="1"/>
    <x:row r="989" ht="15.75" customHeight="1"/>
    <x:row r="990" ht="15.75" customHeight="1"/>
    <x:row r="991" ht="15.75" customHeight="1"/>
    <x:row r="992" ht="15.75" customHeight="1"/>
    <x:row r="993" ht="15.75" customHeight="1"/>
    <x:row r="994" ht="15.75" customHeight="1"/>
    <x:row r="995" ht="15.75" customHeight="1"/>
    <x:row r="996" ht="15.75" customHeight="1"/>
    <x:row r="997" ht="15.75" customHeight="1"/>
    <x:row r="998" ht="15.75" customHeight="1"/>
    <x:row r="999" ht="15.75" customHeight="1"/>
    <x:row r="1000" ht="15.75" customHeight="1"/>
  </x:sheetData>
  <x:mergeCells>
    <x:mergeCell ref="A78:D78"/>
  </x:mergeCells>
  <x:dataValidations count="2">
    <x:dataValidation type="list" allowBlank="1" sqref="B6">
      <x:formula1>"A,B"</x:formula1>
    </x:dataValidation>
    <x:dataValidation type="decimal" operator="between" sqref="B10">
      <x:formula1>0.01</x:formula1>
      <x:formula2>1</x:formula2>
    </x:dataValidation>
  </x:dataValidations>
  <x:pageMargins left="0.7" right="0.7" top="0.75" bottom="0.75" header="0.3" footer="0.3"/>
  <x:legacyDrawing xmlns:r="http://schemas.openxmlformats.org/officeDocument/2006/relationships" r:id="R41d8104868f54d89"/>
</x:worksheet>
</file>

<file path=xl/worksheets/sheet3.xml><?xml version="1.0" encoding="utf-8"?>
<x:worksheet xmlns:x="http://schemas.openxmlformats.org/spreadsheetml/2006/main">
  <x:sheetFormatPr defaultColWidth="14.430000305175781" defaultRowHeight="15"/>
  <x:cols>
    <x:col min="1" max="1" width="46" customWidth="1"/>
    <x:col min="2" max="3" width="16" customWidth="1"/>
    <x:col min="4" max="4" width="54" customWidth="1"/>
    <x:col min="5" max="8" width="15" customWidth="1"/>
    <x:col min="9" max="26" width="8.710000038146973" customWidth="1"/>
  </x:cols>
  <x:sheetData>
    <x:row r="1" ht="24" customHeight="1">
      <x:c r="A1" s="1" t="s">
        <x:v>98</x:v>
      </x:c>
      <x:c r="B1" s="2"/>
      <x:c r="C1" s="2"/>
      <x:c r="D1" s="2"/>
      <x:c r="E1" s="2"/>
      <x:c r="F1" s="2"/>
      <x:c r="G1" s="2"/>
      <x:c r="H1" s="2"/>
    </x:row>
    <x:row r="2">
      <x:c r="A2" s="3" t="s">
        <x:v>99</x:v>
      </x:c>
    </x:row>
    <x:row r="4">
      <x:c r="A4" s="7" t="s">
        <x:v>100</x:v>
      </x:c>
      <x:c r="B4" s="10"/>
      <x:c r="C4" s="10"/>
      <x:c r="D4" s="10"/>
      <x:c r="E4" s="10"/>
      <x:c r="F4" s="10"/>
      <x:c r="G4" s="10"/>
      <x:c r="H4" s="10"/>
    </x:row>
    <x:row r="5">
      <x:c r="A5" s="6" t="s">
        <x:v>101</x:v>
      </x:c>
      <x:c r="B5" s="20" t="n">
        <x:f>'1_Cost_Job'!B66</x:f>
        <x:v>0.19868571428571427</x:v>
      </x:c>
      <x:c r="C5" s="3" t="s">
        <x:v>86</x:v>
      </x:c>
    </x:row>
    <x:row r="6">
      <x:c r="A6" s="6" t="s">
        <x:v>102</x:v>
      </x:c>
      <x:c r="B6" s="21" t="n">
        <x:v>3</x:v>
      </x:c>
      <x:c r="C6" s="3" t="s">
        <x:v>103</x:v>
      </x:c>
      <x:c r="D6" s="17" t="s">
        <x:v>104</x:v>
      </x:c>
    </x:row>
    <x:row r="7">
      <x:c r="A7" s="12" t="s">
        <x:v>105</x:v>
      </x:c>
      <x:c r="B7" s="23" t="n">
        <x:f>B5*B6</x:f>
        <x:v>0.5960571428571428</x:v>
      </x:c>
      <x:c r="C7" s="3" t="s">
        <x:v>86</x:v>
      </x:c>
    </x:row>
    <x:row r="9">
      <x:c r="A9" s="7" t="s">
        <x:v>106</x:v>
      </x:c>
      <x:c r="B9" s="10"/>
      <x:c r="C9" s="10"/>
      <x:c r="D9" s="10"/>
      <x:c r="E9" s="10"/>
      <x:c r="F9" s="10"/>
      <x:c r="G9" s="10"/>
      <x:c r="H9" s="10"/>
    </x:row>
    <x:row r="10" ht="52" customHeight="1">
      <x:c r="A10" s="6" t="s">
        <x:v>107</x:v>
      </x:c>
      <x:c r="B10" s="25" t="n">
        <x:f>B57*B77/60*B78</x:f>
        <x:v>32</x:v>
      </x:c>
      <x:c r="D10" s="47" t="str">
        <x:v>GIẢ ĐỊNH: 12 note × 20 phút tiết kiệm × $8/h / 60 = $32. Chưa đo, không phải WTP.</x:v>
      </x:c>
    </x:row>
    <x:row r="11" ht="52" customHeight="1">
      <x:c r="A11" s="6" t="s">
        <x:v>108</x:v>
      </x:c>
      <x:c r="B11" s="15" t="n">
        <x:v>12</x:v>
      </x:c>
      <x:c r="C11" s="3" t="s">
        <x:v>34</x:v>
      </x:c>
      <x:c r="D11" s="45" t="str">
        <x:v>Hạn mức gói tháng; tính full quota để không dựa vào người dùng bỏ phí.</x:v>
      </x:c>
    </x:row>
    <x:row r="12">
      <x:c r="A12" s="6" t="s">
        <x:v>109</x:v>
      </x:c>
      <x:c r="B12" s="24" t="n">
        <x:f>IF(B11=0,0,B10*0.1/B11)</x:f>
        <x:v>0.26666666666666666</x:v>
      </x:c>
      <x:c r="C12" s="3" t="s">
        <x:v>86</x:v>
      </x:c>
    </x:row>
    <x:row r="13">
      <x:c r="A13" s="6" t="s">
        <x:v>110</x:v>
      </x:c>
      <x:c r="B13" s="24" t="n">
        <x:f>IF(B11=0,0,B10*0.25/B11)</x:f>
        <x:v>0.6666666666666666</x:v>
      </x:c>
      <x:c r="C13" s="3" t="s">
        <x:v>86</x:v>
      </x:c>
    </x:row>
    <x:row r="14" ht="52" customHeight="1">
      <x:c r="A14" s="6" t="s">
        <x:v>111</x:v>
      </x:c>
      <x:c r="B14" s="25" t="n">
        <x:v>0</x:v>
      </x:c>
      <x:c r="D14" s="47" t="str">
        <x:v>0: không thay nhân sự có lương. Các trần nhân công không áp dụng cho prosumer.</x:v>
      </x:c>
    </x:row>
    <x:row r="15">
      <x:c r="A15" s="6" t="s">
        <x:v>112</x:v>
      </x:c>
      <x:c r="B15" s="24" t="n">
        <x:f>IF(B11=0,0,B14*0.5/B11)</x:f>
        <x:v>0</x:v>
      </x:c>
      <x:c r="C15" s="3" t="s">
        <x:v>86</x:v>
      </x:c>
    </x:row>
    <x:row r="16">
      <x:c r="A16" s="6" t="s">
        <x:v>113</x:v>
      </x:c>
      <x:c r="B16" s="24" t="n">
        <x:f>IF(B11=0,0,B14*0.7/B11)</x:f>
        <x:v>0</x:v>
      </x:c>
      <x:c r="C16" s="3" t="s">
        <x:v>86</x:v>
      </x:c>
    </x:row>
    <x:row r="18">
      <x:c r="A18" s="7" t="s">
        <x:v>114</x:v>
      </x:c>
      <x:c r="B18" s="10"/>
      <x:c r="C18" s="10"/>
      <x:c r="D18" s="10"/>
      <x:c r="E18" s="10"/>
      <x:c r="F18" s="10"/>
      <x:c r="G18" s="10"/>
      <x:c r="H18" s="10"/>
    </x:row>
    <x:row r="19" ht="52" customHeight="1">
      <x:c r="A19" s="6" t="s">
        <x:v>115</x:v>
      </x:c>
      <x:c r="B19" s="78" t="n">
        <x:f>B56/B57</x:f>
        <x:v>0.6666666666666666</x:v>
      </x:c>
      <x:c r="C19" s="3" t="s">
        <x:v>86</x:v>
      </x:c>
      <x:c r="D19" s="47" t="str">
        <x:v>$8/12 note = $0,666667/note. Đơn giá quy đổi, không cộng phí từ note đầu.</x:v>
      </x:c>
    </x:row>
    <x:row r="20">
      <x:c r="A20" s="6" t="s">
        <x:v>116</x:v>
      </x:c>
      <x:c r="B20" s="30" t="n">
        <x:f>IF(B5=0,0,B19/B5)</x:f>
        <x:v>3.35538299300163</x:v>
      </x:c>
    </x:row>
    <x:row r="21" ht="15.75" customHeight="1">
      <x:c r="A21" s="12" t="s">
        <x:v>117</x:v>
      </x:c>
      <x:c r="B21" s="81" t="n">
        <x:f>IF(B19=0,0,(B19-B5)/B19)</x:f>
        <x:v>0.7019714285714286</x:v>
      </x:c>
    </x:row>
    <x:row r="22" ht="48" customHeight="1">
      <x:c r="A22" s="6" t="s">
        <x:v>118</x:v>
      </x:c>
      <x:c r="B22" s="77" t="str">
        <x:f>IF(B20&gt;=B6,"OK — ĐẠT","KHÔNG ĐẠT — quay lại tab 1")</x:f>
        <x:v>OK — ĐẠT</x:v>
      </x:c>
    </x:row>
    <x:row r="23" ht="48" customHeight="1">
      <x:c r="A23" s="6" t="s">
        <x:v>119</x:v>
      </x:c>
      <x:c r="B23" s="77" t="str">
        <x:f>IF(B21&gt;=0.6,"OK — AN TOÀN (≥60%)",IF(B21&gt;=0.5,"CẢNH BÁO (50–60%)","NGUY HIỂM (&lt;50%)"))</x:f>
        <x:v>OK — AN TOÀN (≥60%)</x:v>
      </x:c>
    </x:row>
    <x:row r="24" ht="48" customHeight="1">
      <x:c r="A24" s="6" t="s">
        <x:v>120</x:v>
      </x:c>
      <x:c r="B24" s="77" t="str">
        <x:f>IF(B21&gt;0.85,"NGHI NGỜ — nhiều khả năng bạn quên một khoản chi phí","OK")</x:f>
        <x:v>OK</x:v>
      </x:c>
    </x:row>
    <x:row r="25" ht="48" customHeight="1">
      <x:c r="A25" s="6" t="s">
        <x:v>121</x:v>
      </x:c>
      <x:c r="B25" s="77" t="str">
        <x:f>IF(AND(B19&gt;=B7,B19&lt;=MAX(B13,B16)),"OK — trong vùng giá bán","XEM LẠI — ngoài vùng giá sàn/trần")</x:f>
        <x:v>OK — trong vùng giá bán</x:v>
      </x:c>
    </x:row>
    <x:row r="26" ht="15.75" customHeight="1"/>
    <x:row r="27" ht="15.75" customHeight="1">
      <x:c r="A27" s="7" t="str">
        <x:v>NGƯỠNG R HOÀN THÀNH CÓ NGƯỜI DUYỆT</x:v>
      </x:c>
      <x:c r="B27" s="10"/>
      <x:c r="C27" s="10"/>
      <x:c r="D27" s="10"/>
      <x:c r="E27" s="10"/>
      <x:c r="F27" s="10"/>
      <x:c r="G27" s="10"/>
      <x:c r="H27" s="10"/>
    </x:row>
    <x:row r="28" ht="15.75" customHeight="1">
      <x:c r="A28" s="3" t="s">
        <x:v>122</x:v>
      </x:c>
    </x:row>
    <x:row r="29" ht="15.75" customHeight="1">
      <x:c r="A29" s="6" t="s">
        <x:v>123</x:v>
      </x:c>
      <x:c r="B29" s="20" t="n">
        <x:f>'1_Cost_Job'!B31+'1_Cost_Job'!B38+'1_Cost_Job'!B43+'1_Cost_Job'!B47</x:f>
        <x:v>0.059079999999999994</x:v>
      </x:c>
    </x:row>
    <x:row r="30" ht="15.75" customHeight="1">
      <x:c r="A30" s="6" t="str">
        <x:v>q — QA + support / lượt thử</x:v>
      </x:c>
      <x:c r="B30" s="20" t="n">
        <x:f>'1_Cost_Job'!B51*('1_Cost_Job'!B52/60)*'1_Cost_Job'!B50</x:f>
        <x:v>0.08000000000000002</x:v>
      </x:c>
    </x:row>
    <x:row r="31" ht="15.75" customHeight="1">
      <x:c r="A31" s="6" t="s">
        <x:v>124</x:v>
      </x:c>
      <x:c r="B31" s="20" t="n">
        <x:f>IF('1_Cost_Job'!B6="B",('1_Cost_Job'!B53/60)*'1_Cost_Job'!B50,0)</x:f>
        <x:v>0</x:v>
      </x:c>
    </x:row>
    <x:row r="32" ht="15.75" customHeight="1">
      <x:c r="A32" s="6" t="s">
        <x:v>125</x:v>
      </x:c>
      <x:c r="B32" s="16" t="n">
        <x:v>0.6</x:v>
      </x:c>
    </x:row>
    <x:row r="33" ht="52" customHeight="1">
      <x:c r="A33" s="12" t="str">
        <x:v>★ R tối thiểu để GM đạt mục tiêu</x:v>
      </x:c>
      <x:c r="B33" s="81" t="n">
        <x:f>IF((B19*(1-B32)+B31)=0,0,(B29+B30+B31)/(B19*(1-B32)+B31))</x:f>
        <x:v>0.5215500000000001</x:v>
      </x:c>
      <x:c r="D33" s="47" t="str">
        <x:v>R ≥ (v+q+e)/(P×(1−GM)+e). HITL A nên e=0. Đây không phải autonomous containment.</x:v>
      </x:c>
    </x:row>
    <x:row r="34" ht="15.75" customHeight="1">
      <x:c r="A34" s="6" t="str">
        <x:v>R giả định hiện tại (chưa đo)</x:v>
      </x:c>
      <x:c r="B34" s="34" t="n">
        <x:f>'1_Cost_Job'!B10</x:f>
        <x:v>0.7</x:v>
      </x:c>
    </x:row>
    <x:row r="35" ht="48" customHeight="1">
      <x:c r="A35" s="6" t="s">
        <x:v>126</x:v>
      </x:c>
      <x:c r="B35" s="77" t="str">
        <x:f>IF(B34&gt;=B33,"ĐẠT — mô hình có lãi lành mạnh","CHƯA ĐẠT — phải tăng containment, tăng giá, hoặc đổi biến thể HITL")</x:f>
        <x:v>ĐẠT — mô hình có lãi lành mạnh</x:v>
      </x:c>
    </x:row>
    <x:row r="36" ht="15.75" customHeight="1"/>
    <x:row r="37" ht="15.75" customHeight="1">
      <x:c r="A37" s="7" t="str">
        <x:v>SENSITIVITY — tỷ lệ note được duyệt và lưu</x:v>
      </x:c>
      <x:c r="B37" s="10"/>
      <x:c r="C37" s="10"/>
      <x:c r="D37" s="10"/>
      <x:c r="E37" s="10"/>
      <x:c r="F37" s="10"/>
      <x:c r="G37" s="10"/>
      <x:c r="H37" s="10"/>
    </x:row>
    <x:row r="38" ht="15.75" customHeight="1">
      <x:c r="A38" s="27" t="str">
        <x:v>R hoàn thành</x:v>
      </x:c>
      <x:c r="B38" s="27" t="s">
        <x:v>127</x:v>
      </x:c>
      <x:c r="C38" s="27" t="s">
        <x:v>128</x:v>
      </x:c>
      <x:c r="D38" s="27" t="s">
        <x:v>129</x:v>
      </x:c>
    </x:row>
    <x:row r="39" ht="15.75" customHeight="1">
      <x:c r="A39" s="40">
        <x:v>0.5</x:v>
      </x:c>
      <x:c r="B39" s="24" t="n">
        <x:f t="shared" ref="B39:B44" si="1">SUM($B$29:$B$30)/A39+$B$31*(1/A39-1)</x:f>
        <x:v>0.27816</x:v>
      </x:c>
      <x:c r="C39" s="28" t="n">
        <x:f t="shared" ref="C39:C44" si="2">($B$19-B39)/$B$19</x:f>
        <x:v>0.58276</x:v>
      </x:c>
      <x:c r="D39" s="8" t="str">
        <x:f t="shared" ref="D39:D44" si="3">IF(C39&lt;0.5,"Nguy hiểm",IF(C39&lt;0.6,"Cảnh báo","An toàn"))</x:f>
        <x:v>Cảnh báo</x:v>
      </x:c>
    </x:row>
    <x:row r="40" ht="15.75" customHeight="1">
      <x:c r="A40" s="40">
        <x:v>0.6</x:v>
      </x:c>
      <x:c r="B40" s="24" t="n">
        <x:f t="shared" si="1">SUM($B$29:$B$30)/A40+$B$31*(1/A40-1)</x:f>
        <x:v>0.23180000000000003</x:v>
      </x:c>
      <x:c r="C40" s="28" t="n">
        <x:f t="shared" si="2">($B$19-B40)/$B$19</x:f>
        <x:v>0.6523</x:v>
      </x:c>
      <x:c r="D40" s="8" t="str">
        <x:f t="shared" si="3">IF(C40&lt;0.5,"Nguy hiểm",IF(C40&lt;0.6,"Cảnh báo","An toàn"))</x:f>
        <x:v>An toàn</x:v>
      </x:c>
    </x:row>
    <x:row r="41" ht="15.75" customHeight="1">
      <x:c r="A41" s="40">
        <x:v>0.7</x:v>
      </x:c>
      <x:c r="B41" s="24" t="n">
        <x:f t="shared" si="1">SUM($B$29:$B$30)/A41+$B$31*(1/A41-1)</x:f>
        <x:v>0.1986857142857143</x:v>
      </x:c>
      <x:c r="C41" s="28" t="n">
        <x:f t="shared" si="2">($B$19-B41)/$B$19</x:f>
        <x:v>0.7019714285714286</x:v>
      </x:c>
      <x:c r="D41" s="8" t="str">
        <x:f t="shared" si="3">IF(C41&lt;0.5,"Nguy hiểm",IF(C41&lt;0.6,"Cảnh báo","An toàn"))</x:f>
        <x:v>An toàn</x:v>
      </x:c>
    </x:row>
    <x:row r="42" ht="15.75" customHeight="1">
      <x:c r="A42" s="40">
        <x:v>0.8</x:v>
      </x:c>
      <x:c r="B42" s="24" t="n">
        <x:f t="shared" si="1">SUM($B$29:$B$30)/A42+$B$31*(1/A42-1)</x:f>
        <x:v>0.17385</x:v>
      </x:c>
      <x:c r="C42" s="28" t="n">
        <x:f t="shared" si="2">($B$19-B42)/$B$19</x:f>
        <x:v>0.739225</x:v>
      </x:c>
      <x:c r="D42" s="8" t="str">
        <x:f t="shared" si="3">IF(C42&lt;0.5,"Nguy hiểm",IF(C42&lt;0.6,"Cảnh báo","An toàn"))</x:f>
        <x:v>An toàn</x:v>
      </x:c>
    </x:row>
    <x:row r="43" ht="15.75" customHeight="1">
      <x:c r="A43" s="40">
        <x:v>0.9</x:v>
      </x:c>
      <x:c r="B43" s="24" t="n">
        <x:f t="shared" si="1">SUM($B$29:$B$30)/A43+$B$31*(1/A43-1)</x:f>
        <x:v>0.15453333333333333</x:v>
      </x:c>
      <x:c r="C43" s="28" t="n">
        <x:f t="shared" si="2">($B$19-B43)/$B$19</x:f>
        <x:v>0.7682</x:v>
      </x:c>
      <x:c r="D43" s="8" t="str">
        <x:f t="shared" si="3">IF(C43&lt;0.5,"Nguy hiểm",IF(C43&lt;0.6,"Cảnh báo","An toàn"))</x:f>
        <x:v>An toàn</x:v>
      </x:c>
    </x:row>
    <x:row r="44" ht="15.75" customHeight="1">
      <x:c r="A44" s="40">
        <x:v>0.95</x:v>
      </x:c>
      <x:c r="B44" s="24" t="n">
        <x:f t="shared" si="1">SUM($B$29:$B$30)/A44+$B$31*(1/A44-1)</x:f>
        <x:v>0.14640000000000003</x:v>
      </x:c>
      <x:c r="C44" s="28" t="n">
        <x:f t="shared" si="2">($B$19-B44)/$B$19</x:f>
        <x:v>0.7804</x:v>
      </x:c>
      <x:c r="D44" s="8" t="str">
        <x:f t="shared" si="3">IF(C44&lt;0.5,"Nguy hiểm",IF(C44&lt;0.6,"Cảnh báo","An toàn"))</x:f>
        <x:v>An toàn</x:v>
      </x:c>
    </x:row>
    <x:row r="45" ht="15.75" customHeight="1"/>
    <x:row r="46" ht="44" customHeight="1">
      <x:c r="A46" s="47" t="str">
        <x:v>Sensitivity giữ v + QA/support; R hoàn thành có learner review, không phải autonomous containment.</x:v>
      </x:c>
    </x:row>
    <x:row r="47" ht="15.75" customHeight="1"/>
    <x:row r="48" ht="15.75" customHeight="1">
      <x:c r="A48" s="7" t="s">
        <x:v>130</x:v>
      </x:c>
      <x:c r="B48" s="10"/>
      <x:c r="C48" s="10"/>
      <x:c r="D48" s="10"/>
      <x:c r="E48" s="10"/>
      <x:c r="F48" s="10"/>
      <x:c r="G48" s="10"/>
      <x:c r="H48" s="10"/>
    </x:row>
    <x:row r="49" ht="15.75" customHeight="1">
      <x:c r="A49" s="12" t="s">
        <x:v>127</x:v>
      </x:c>
      <x:c r="B49" s="23" t="n">
        <x:f>B5</x:f>
        <x:v>0.19868571428571427</x:v>
      </x:c>
    </x:row>
    <x:row r="50" ht="15.75" customHeight="1">
      <x:c r="A50" s="12" t="s">
        <x:v>131</x:v>
      </x:c>
      <x:c r="B50" s="23" t="n">
        <x:f>B7</x:f>
        <x:v>0.5960571428571428</x:v>
      </x:c>
    </x:row>
    <x:row r="51" ht="15.75" customHeight="1">
      <x:c r="A51" s="12" t="s">
        <x:v>132</x:v>
      </x:c>
      <x:c r="B51" s="23" t="n">
        <x:f>B19</x:f>
        <x:v>0.6666666666666666</x:v>
      </x:c>
    </x:row>
    <x:row r="52" ht="15.75" customHeight="1">
      <x:c r="A52" s="12" t="s">
        <x:v>128</x:v>
      </x:c>
      <x:c r="B52" s="31" t="n">
        <x:f>B21</x:f>
        <x:v>0.7019714285714286</x:v>
      </x:c>
    </x:row>
    <x:row r="53" ht="15.75" customHeight="1">
      <x:c r="A53" s="12" t="str">
        <x:v>Ngưỡng R để GM ≥60%</x:v>
      </x:c>
      <x:c r="B53" s="31" t="n">
        <x:f>B33</x:f>
        <x:v>0.5215500000000001</x:v>
      </x:c>
    </x:row>
    <x:row r="54" ht="15.75" customHeight="1"/>
    <x:row r="55" ht="15.75" customHeight="1"/>
    <x:row r="56" ht="38" customHeight="1">
      <x:c r="A56" s="73" t="str">
        <x:v>Giá gói / tháng ($)</x:v>
      </x:c>
      <x:c r="B56" s="70" t="n">
        <x:v>8</x:v>
      </x:c>
      <x:c r="C56" s="75"/>
      <x:c r="D56" s="75"/>
    </x:row>
    <x:row r="57" ht="38" customHeight="1">
      <x:c r="A57" s="60" t="str">
        <x:v>Note hoàn thành trong gói</x:v>
      </x:c>
      <x:c r="B57" s="68" t="n">
        <x:v>12</x:v>
      </x:c>
      <x:c r="C57" s="62"/>
      <x:c r="D57" s="62"/>
    </x:row>
    <x:row r="58" ht="38" customHeight="1">
      <x:c r="A58" s="60" t="str">
        <x:v>Giới hạn lượt thử / gói</x:v>
      </x:c>
      <x:c r="B58" s="68" t="n">
        <x:v>22</x:v>
      </x:c>
      <x:c r="C58" s="62"/>
      <x:c r="D58" s="62"/>
    </x:row>
    <x:row r="59" ht="38" customHeight="1">
      <x:c r="A59" s="60" t="str">
        <x:v>Người trả tiền ở quy mô giả định</x:v>
      </x:c>
      <x:c r="B59" s="63" t="n">
        <x:f>'1_Cost_Job'!B11/B57</x:f>
        <x:v>70</x:v>
      </x:c>
      <x:c r="C59" s="62"/>
      <x:c r="D59" s="62"/>
    </x:row>
    <x:row r="60" ht="38" customHeight="1">
      <x:c r="A60" s="60" t="str">
        <x:v>Doanh thu / tháng ($)</x:v>
      </x:c>
      <x:c r="B60" s="61" t="n">
        <x:f>B56*B59</x:f>
        <x:v>560</x:v>
      </x:c>
      <x:c r="C60" s="62"/>
      <x:c r="D60" s="62"/>
    </x:row>
    <x:row r="61" ht="38" customHeight="1">
      <x:c r="A61" s="60" t="str">
        <x:v>Margin sau overhead (không phải GM)</x:v>
      </x:c>
      <x:c r="B61" s="64" t="n">
        <x:f>1-'1_Cost_Job'!B67/B19</x:f>
        <x:v>0.5519714285714286</x:v>
      </x:c>
      <x:c r="C61" s="62"/>
      <x:c r="D61" s="62"/>
    </x:row>
    <x:row r="62" ht="38" customHeight="1">
      <x:c r="A62" s="60" t="str">
        <x:v>Ngưỡng R để GM ≥50%</x:v>
      </x:c>
      <x:c r="B62" s="64" t="n">
        <x:f>(B29+B30+B31)/(B19*(1-0.5)+B31)</x:f>
        <x:v>0.41724000000000006</x:v>
      </x:c>
      <x:c r="C62" s="62"/>
      <x:c r="D62" s="62"/>
    </x:row>
    <x:row r="63" ht="38" customHeight="1">
      <x:c r="A63" s="60" t="str">
        <x:v>Ngưỡng R để margin sau overhead ≥60%</x:v>
      </x:c>
      <x:c r="B63" s="64" t="n">
        <x:f>(B29+B30+B31+'1_Cost_Job'!B59/'1_Cost_Job'!B9)/(B19*(1-B32)+B31)</x:f>
        <x:v>0.78405</x:v>
      </x:c>
      <x:c r="C63" s="62"/>
      <x:c r="D63" s="62"/>
    </x:row>
    <x:row r="64" ht="38" customHeight="1">
      <x:c r="A64" s="60" t="str">
        <x:v>Cost/Job nếu giá LLM tăng 2×</x:v>
      </x:c>
      <x:c r="B64" s="61" t="n">
        <x:f>(2*'1_Cost_Job'!B31*(1+'1_Cost_Job'!B46)+'1_Cost_Job'!B38+'1_Cost_Job'!B43+B30)/B34</x:f>
        <x:v>0.21880000000000005</x:v>
      </x:c>
      <x:c r="C64" s="62"/>
      <x:c r="D64" s="62"/>
    </x:row>
    <x:row r="65" ht="38" customHeight="1">
      <x:c r="A65" s="60" t="str">
        <x:v>GM nếu giá LLM tăng 2×</x:v>
      </x:c>
      <x:c r="B65" s="64" t="n">
        <x:f>1-B64/B19</x:f>
        <x:v>0.6718</x:v>
      </x:c>
      <x:c r="C65" s="62"/>
      <x:c r="D65" s="62"/>
    </x:row>
    <x:row r="66" ht="38" customHeight="1">
      <x:c r="A66" s="60" t="str">
        <x:v>Cost/Job nếu QA phút/ca tăng 2×</x:v>
      </x:c>
      <x:c r="B66" s="61" t="n">
        <x:f>(B29+2*B30)/B34</x:f>
        <x:v>0.3129714285714286</x:v>
      </x:c>
      <x:c r="C66" s="62"/>
      <x:c r="D66" s="62"/>
    </x:row>
    <x:row r="67" ht="38" customHeight="1">
      <x:c r="A67" s="60" t="str">
        <x:v>GM nếu QA phút/ca tăng 2×</x:v>
      </x:c>
      <x:c r="B67" s="64" t="n">
        <x:f>1-B66/B19</x:f>
        <x:v>0.530542857142857</x:v>
      </x:c>
      <x:c r="C67" s="62"/>
      <x:c r="D67" s="62"/>
    </x:row>
    <x:row r="68" ht="38" customHeight="1">
      <x:c r="A68" s="60" t="str">
        <x:v>Cost/Job nếu R giảm một nửa</x:v>
      </x:c>
      <x:c r="B68" s="61" t="n">
        <x:f>(B29+B30)/(B34/2)</x:f>
        <x:v>0.3973714285714286</x:v>
      </x:c>
      <x:c r="C68" s="62"/>
      <x:c r="D68" s="62"/>
    </x:row>
    <x:row r="69" ht="38" customHeight="1">
      <x:c r="A69" s="60" t="str">
        <x:v>GM nếu R giảm một nửa</x:v>
      </x:c>
      <x:c r="B69" s="64" t="n">
        <x:f>1-B68/B19</x:f>
        <x:v>0.40394285714285705</x:v>
      </x:c>
      <x:c r="C69" s="62"/>
      <x:c r="D69" s="62"/>
    </x:row>
    <x:row r="70" ht="38" customHeight="1">
      <x:c r="A70" s="60" t="str">
        <x:v>Cost/Job nếu dùng Batch (-50% LLM)</x:v>
      </x:c>
      <x:c r="B70" s="61" t="n">
        <x:f>('1_Cost_Job'!B31*0.5*(1+'1_Cost_Job'!B46)+'1_Cost_Job'!B43+B30)/B34</x:f>
        <x:v>0.18862857142857148</x:v>
      </x:c>
      <x:c r="C70" s="62"/>
      <x:c r="D70" s="62"/>
    </x:row>
    <x:row r="71" ht="38" customHeight="1">
      <x:c r="A71" s="60" t="str">
        <x:v>GM nếu dùng Batch (offline)</x:v>
      </x:c>
      <x:c r="B71" s="64" t="n">
        <x:f>1-B70/B19</x:f>
        <x:v>0.7170571428571428</x:v>
      </x:c>
      <x:c r="C71" s="62"/>
      <x:c r="D71" s="62"/>
    </x:row>
    <x:row r="72" ht="38" customHeight="1">
      <x:c r="A72" s="60" t="str">
        <x:v>CAC PLG mục tiêu ($/người trả tiền)</x:v>
      </x:c>
      <x:c r="B72" s="70" t="n">
        <x:v>12</x:v>
      </x:c>
      <x:c r="C72" s="62"/>
      <x:c r="D72" s="62"/>
    </x:row>
    <x:row r="73" ht="38" customHeight="1">
      <x:c r="A73" s="60" t="str">
        <x:v>Ngân sách acquisition 90 ngày ($)</x:v>
      </x:c>
      <x:c r="B73" s="61" t="n">
        <x:f>B59*B72</x:f>
        <x:v>840</x:v>
      </x:c>
      <x:c r="C73" s="62"/>
      <x:c r="D73" s="62"/>
    </x:row>
    <x:row r="74" ht="38" customHeight="1">
      <x:c r="A74" s="60" t="str">
        <x:v>Cash acquisition 90 ngày ($)</x:v>
      </x:c>
      <x:c r="B74" s="70" t="n">
        <x:v>420</x:v>
      </x:c>
      <x:c r="C74" s="62"/>
      <x:c r="D74" s="62"/>
    </x:row>
    <x:row r="75" ht="38" customHeight="1">
      <x:c r="A75" s="60" t="str">
        <x:v>Công acquisition còn lại (giờ, $8/h)</x:v>
      </x:c>
      <x:c r="B75" s="63" t="n">
        <x:f>(B73-B74)/'1_Cost_Job'!B50</x:f>
        <x:v>52.5</x:v>
      </x:c>
      <x:c r="C75" s="62"/>
      <x:c r="D75" s="62"/>
    </x:row>
    <x:row r="76" ht="38" customHeight="1">
      <x:c r="A76" s="60" t="str">
        <x:v>Payback thực tế nếu CAC đạt mục tiêu</x:v>
      </x:c>
      <x:c r="B76" s="63" t="n">
        <x:f>B72/('4_Channel_Fit'!B5*B21)</x:f>
        <x:v>2.136839106190728</x:v>
      </x:c>
      <x:c r="C76" s="62"/>
      <x:c r="D76" s="62"/>
    </x:row>
    <x:row r="77" ht="38" customHeight="1">
      <x:c r="A77" s="60" t="str">
        <x:v>Thời gian tiết kiệm / note (phút)</x:v>
      </x:c>
      <x:c r="B77" s="68" t="n">
        <x:v>20</x:v>
      </x:c>
      <x:c r="C77" s="62"/>
      <x:c r="D77" s="62"/>
    </x:row>
    <x:row r="78" ht="38" customHeight="1">
      <x:c r="A78" s="60" t="str">
        <x:v>Giá trị thời gian người học ($/h)</x:v>
      </x:c>
      <x:c r="B78" s="68" t="n">
        <x:v>8</x:v>
      </x:c>
      <x:c r="C78" s="62"/>
      <x:c r="D78" s="62"/>
    </x:row>
    <x:row r="79" ht="38" customHeight="1">
      <x:c r="A79" s="60" t="str">
        <x:v>Tiết kiệm tối thiểu để giá =25% giá trị (phút)</x:v>
      </x:c>
      <x:c r="B79" s="63" t="n">
        <x:f>B19/0.25/B78*60</x:f>
        <x:v>20</x:v>
      </x:c>
      <x:c r="C79" s="62"/>
      <x:c r="D79" s="62"/>
    </x:row>
    <x:row r="80" ht="38" customHeight="1">
      <x:c r="A80" s="60" t="str">
        <x:v>Cost/note tại cap attempts + kỳ vọng retry</x:v>
      </x:c>
      <x:c r="B80" s="61" t="n">
        <x:f>(B29+B30)*B58/B57</x:f>
        <x:v>0.25498000000000004</x:v>
      </x:c>
      <x:c r="C80" s="62"/>
      <x:c r="D80" s="62"/>
    </x:row>
    <x:row r="81" ht="38" customHeight="1">
      <x:c r="A81" s="60" t="str">
        <x:v>GM tại cap attempts + kỳ vọng retry</x:v>
      </x:c>
      <x:c r="B81" s="64" t="n">
        <x:f>1-B80/B19</x:f>
        <x:v>0.6175299999999999</x:v>
      </x:c>
      <x:c r="C81" s="62"/>
      <x:c r="D81" s="62"/>
    </x:row>
    <x:row r="82" ht="44" customHeight="1">
      <x:c r="A82" s="60" t="str">
        <x:v>Autonomous containment hiện tại</x:v>
      </x:c>
      <x:c r="B82" s="60" t="str">
        <x:v>Chưa đo; workflow luôn yêu cầu learner duyệt</x:v>
      </x:c>
      <x:c r="C82" s="62"/>
      <x:c r="D82" s="62"/>
    </x:row>
    <x:row r="83" ht="44" customHeight="1">
      <x:c r="A83" s="60" t="str">
        <x:v>Ghi chú thuế</x:v>
      </x:c>
      <x:c r="B83" s="60" t="str">
        <x:v>USD trước thuế; VAT thu hộ không coi là doanh thu. Phí thanh toán nằm trong infra.</x:v>
      </x:c>
      <x:c r="C83" s="62"/>
      <x:c r="D83" s="62"/>
    </x:row>
    <x:row r="84" ht="40" customHeight="1">
      <x:c r="A84" s="45" t="str">
        <x:v>Retry toàn job tối đa / gói</x:v>
      </x:c>
      <x:c r="B84" s="50" t="n">
        <x:v>3</x:v>
      </x:c>
    </x:row>
    <x:row r="85" ht="40" customHeight="1">
      <x:c r="A85" s="45" t="str">
        <x:v>LLM calls tối đa / gói</x:v>
      </x:c>
      <x:c r="B85" s="50" t="n">
        <x:f>(B58+B84)*'1_Cost_Job'!B19</x:f>
        <x:v>50</x:v>
      </x:c>
    </x:row>
    <x:row r="86" ht="40" customHeight="1">
      <x:c r="A86" s="45" t="str">
        <x:v>COGS / gói dùng hết cap (retry tối đa)</x:v>
      </x:c>
      <x:c r="B86" s="48" t="n">
        <x:f>(B58+B84)*'1_Cost_Job'!B31+B58*('1_Cost_Job'!B43+B30)</x:f>
        <x:v>3.07</x:v>
      </x:c>
    </x:row>
    <x:row r="87" ht="40" customHeight="1">
      <x:c r="A87" s="45" t="str">
        <x:v>GM tại cap và retry tối đa</x:v>
      </x:c>
      <x:c r="B87" s="49" t="n">
        <x:f>1-B86/B56</x:f>
        <x:v>0.61625</x:v>
      </x:c>
    </x:row>
    <x:row r="88" ht="40" customHeight="1">
      <x:c r="A88" s="45" t="str">
        <x:v>Phút support / ca phân bổ</x:v>
      </x:c>
      <x:c r="B88" s="50" t="n">
        <x:v>3</x:v>
      </x:c>
    </x:row>
    <x:row r="89" ht="40" customHeight="1">
      <x:c r="A89" s="45" t="str">
        <x:v>Support / tháng ($)</x:v>
      </x:c>
      <x:c r="B89" s="48" t="n">
        <x:f>'1_Cost_Job'!B9*'1_Cost_Job'!B51*B88/60*'1_Cost_Job'!B50</x:f>
        <x:v>48</x:v>
      </x:c>
    </x:row>
    <x:row r="90" ht="40" customHeight="1">
      <x:c r="A90" s="45" t="str">
        <x:v>QA / tháng ($)</x:v>
      </x:c>
      <x:c r="B90" s="48" t="n">
        <x:f>'1_Cost_Job'!B54-B89</x:f>
        <x:v>48</x:v>
      </x:c>
    </x:row>
    <x:row r="91" ht="40" customHeight="1">
      <x:c r="A91" s="45" t="str">
        <x:v>Support tương đương phút/account/tháng</x:v>
      </x:c>
      <x:c r="B91" s="50" t="n">
        <x:f>B89/'1_Cost_Job'!B50*60/B59</x:f>
        <x:v>5.142857142857143</x:v>
      </x:c>
    </x:row>
    <x:row r="92" ht="40" customHeight="1">
      <x:c r="A92" s="45" t="str">
        <x:v>Ngưỡng R để margin sau overhead ≥50%</x:v>
      </x:c>
      <x:c r="B92" s="49" t="n">
        <x:f>(B29+B30+B31+'1_Cost_Job'!B59/'1_Cost_Job'!B9)/(B19*0.5+B31)</x:f>
        <x:v>0.6272400000000001</x:v>
      </x:c>
    </x:row>
    <x:row r="93" ht="40" customHeight="1">
      <x:c r="A93" s="45" t="str">
        <x:v>GM nếu infra tăng 2×</x:v>
      </x:c>
      <x:c r="B93" s="49" t="n">
        <x:f>1-(B29+B30+'1_Cost_Job'!B43)/B34/B19</x:f>
        <x:v>0.605542857142857</x:v>
      </x:c>
    </x:row>
    <x:row r="94" ht="40" customHeight="1">
      <x:c r="A94" s="45" t="str">
        <x:v>R thấp nhất vẫn đủ quota12 trong cap22</x:v>
      </x:c>
      <x:c r="B94" s="49" t="n">
        <x:f>B57/B58</x:f>
        <x:v>0.5454545454545454</x:v>
      </x:c>
    </x:row>
    <x:row r="95" ht="46" customHeight="1">
      <x:c r="A95" s="45" t="str">
        <x:v>GM cap nếu retry phát sinh thêm infra</x:v>
      </x:c>
      <x:c r="B95" s="79" t="n">
        <x:f>1-(B86+B84*'1_Cost_Job'!B43)/B56</x:f>
        <x:v>0.599375</x:v>
      </x:c>
      <x:c r="C95" s="45"/>
      <x:c r="D95" s="45" t="str">
        <x:v>Downside: 3 retry × $0,045/gói ngoài reserve. Cần kiểm chứng invoice trước scale.</x:v>
      </x:c>
    </x:row>
    <x:row r="96" ht="15.75" customHeight="1"/>
    <x:row r="97" ht="15.75" customHeight="1"/>
    <x:row r="98" ht="15.75" customHeight="1"/>
    <x:row r="99" ht="15.75" customHeight="1"/>
    <x:row r="100" ht="15.75" customHeight="1"/>
    <x:row r="101" ht="15.75" customHeight="1"/>
    <x:row r="102" ht="15.75" customHeight="1"/>
    <x:row r="103" ht="15.75" customHeight="1"/>
    <x:row r="104" ht="15.75" customHeight="1"/>
    <x:row r="105" ht="15.75" customHeight="1"/>
    <x:row r="106" ht="15.75" customHeight="1"/>
    <x:row r="107" ht="15.75" customHeight="1"/>
    <x:row r="108" ht="15.75" customHeight="1"/>
    <x:row r="109" ht="15.75" customHeight="1"/>
    <x:row r="110" ht="15.75" customHeight="1"/>
    <x:row r="111" ht="15.75" customHeight="1"/>
    <x:row r="112" ht="15.75" customHeight="1"/>
    <x:row r="113" ht="15.75" customHeight="1"/>
    <x:row r="114" ht="15.75" customHeight="1"/>
    <x:row r="115" ht="15.75" customHeight="1"/>
    <x:row r="116" ht="15.75" customHeight="1"/>
    <x:row r="117" ht="15.75" customHeight="1"/>
    <x:row r="118" ht="15.75" customHeight="1"/>
    <x:row r="119" ht="15.75" customHeight="1"/>
    <x:row r="120" ht="15.75" customHeight="1"/>
    <x:row r="121" ht="15.75" customHeight="1"/>
    <x:row r="122" ht="15.75" customHeight="1"/>
    <x:row r="123" ht="15.75" customHeight="1"/>
    <x:row r="124" ht="15.75" customHeight="1"/>
    <x:row r="125" ht="15.75" customHeight="1"/>
    <x:row r="126" ht="15.75" customHeight="1"/>
    <x:row r="127" ht="15.75" customHeight="1"/>
    <x:row r="128" ht="15.75" customHeight="1"/>
    <x:row r="129" ht="15.75" customHeight="1"/>
    <x:row r="130" ht="15.75" customHeight="1"/>
    <x:row r="131" ht="15.75" customHeight="1"/>
    <x:row r="132" ht="15.75" customHeight="1"/>
    <x:row r="133" ht="15.75" customHeight="1"/>
    <x:row r="134" ht="15.75" customHeight="1"/>
    <x:row r="135" ht="15.75" customHeight="1"/>
    <x:row r="136" ht="15.75" customHeight="1"/>
    <x:row r="137" ht="15.75" customHeight="1"/>
    <x:row r="138" ht="15.75" customHeight="1"/>
    <x:row r="139" ht="15.75" customHeight="1"/>
    <x:row r="140" ht="15.75" customHeight="1"/>
    <x:row r="141" ht="15.75" customHeight="1"/>
    <x:row r="142" ht="15.75" customHeight="1"/>
    <x:row r="143" ht="15.75" customHeight="1"/>
    <x:row r="144" ht="15.75" customHeight="1"/>
    <x:row r="145" ht="15.75" customHeight="1"/>
    <x:row r="146" ht="15.75" customHeight="1"/>
    <x:row r="147" ht="15.75" customHeight="1"/>
    <x:row r="148" ht="15.75" customHeight="1"/>
    <x:row r="149" ht="15.75" customHeight="1"/>
    <x:row r="150" ht="15.75" customHeight="1"/>
    <x:row r="151" ht="15.75" customHeight="1"/>
    <x:row r="152" ht="15.75" customHeight="1"/>
    <x:row r="153" ht="15.75" customHeight="1"/>
    <x:row r="154" ht="15.75" customHeight="1"/>
    <x:row r="155" ht="15.75" customHeight="1"/>
    <x:row r="156" ht="15.75" customHeight="1"/>
    <x:row r="157" ht="15.75" customHeight="1"/>
    <x:row r="158" ht="15.75" customHeight="1"/>
    <x:row r="159" ht="15.75" customHeight="1"/>
    <x:row r="160" ht="15.75" customHeight="1"/>
    <x:row r="161" ht="15.75" customHeight="1"/>
    <x:row r="162" ht="15.75" customHeight="1"/>
    <x:row r="163" ht="15.75" customHeight="1"/>
    <x:row r="164" ht="15.75" customHeight="1"/>
    <x:row r="165" ht="15.75" customHeight="1"/>
    <x:row r="166" ht="15.75" customHeight="1"/>
    <x:row r="167" ht="15.75" customHeight="1"/>
    <x:row r="168" ht="15.75" customHeight="1"/>
    <x:row r="169" ht="15.75" customHeight="1"/>
    <x:row r="170" ht="15.75" customHeight="1"/>
    <x:row r="171" ht="15.75" customHeight="1"/>
    <x:row r="172" ht="15.75" customHeight="1"/>
    <x:row r="173" ht="15.75" customHeight="1"/>
    <x:row r="174" ht="15.75" customHeight="1"/>
    <x:row r="175" ht="15.75" customHeight="1"/>
    <x:row r="176" ht="15.75" customHeight="1"/>
    <x:row r="177" ht="15.75" customHeight="1"/>
    <x:row r="178" ht="15.75" customHeight="1"/>
    <x:row r="179" ht="15.75" customHeight="1"/>
    <x:row r="180" ht="15.75" customHeight="1"/>
    <x:row r="181" ht="15.75" customHeight="1"/>
    <x:row r="182" ht="15.75" customHeight="1"/>
    <x:row r="183" ht="15.75" customHeight="1"/>
    <x:row r="184" ht="15.75" customHeight="1"/>
    <x:row r="185" ht="15.75" customHeight="1"/>
    <x:row r="186" ht="15.75" customHeight="1"/>
    <x:row r="187" ht="15.75" customHeight="1"/>
    <x:row r="188" ht="15.75" customHeight="1"/>
    <x:row r="189" ht="15.75" customHeight="1"/>
    <x:row r="190" ht="15.75" customHeight="1"/>
    <x:row r="191" ht="15.75" customHeight="1"/>
    <x:row r="192" ht="15.75" customHeight="1"/>
    <x:row r="193" ht="15.75" customHeight="1"/>
    <x:row r="194" ht="15.75" customHeight="1"/>
    <x:row r="195" ht="15.75" customHeight="1"/>
    <x:row r="196" ht="15.75" customHeight="1"/>
    <x:row r="197" ht="15.75" customHeight="1"/>
    <x:row r="198" ht="15.75" customHeight="1"/>
    <x:row r="199" ht="15.75" customHeight="1"/>
    <x:row r="200" ht="15.75" customHeight="1"/>
    <x:row r="201" ht="15.75" customHeight="1"/>
    <x:row r="202" ht="15.75" customHeight="1"/>
    <x:row r="203" ht="15.75" customHeight="1"/>
    <x:row r="204" ht="15.75" customHeight="1"/>
    <x:row r="205" ht="15.75" customHeight="1"/>
    <x:row r="206" ht="15.75" customHeight="1"/>
    <x:row r="207" ht="15.75" customHeight="1"/>
    <x:row r="208" ht="15.75" customHeight="1"/>
    <x:row r="209" ht="15.75" customHeight="1"/>
    <x:row r="210" ht="15.75" customHeight="1"/>
    <x:row r="211" ht="15.75" customHeight="1"/>
    <x:row r="212" ht="15.75" customHeight="1"/>
    <x:row r="213" ht="15.75" customHeight="1"/>
    <x:row r="214" ht="15.75" customHeight="1"/>
    <x:row r="215" ht="15.75" customHeight="1"/>
    <x:row r="216" ht="15.75" customHeight="1"/>
    <x:row r="217" ht="15.75" customHeight="1"/>
    <x:row r="218" ht="15.75" customHeight="1"/>
    <x:row r="219" ht="15.75" customHeight="1"/>
    <x:row r="220" ht="15.75" customHeight="1"/>
    <x:row r="221" ht="15.75" customHeight="1"/>
    <x:row r="222" ht="15.75" customHeight="1"/>
    <x:row r="223" ht="15.75" customHeight="1"/>
    <x:row r="224" ht="15.75" customHeight="1"/>
    <x:row r="225" ht="15.75" customHeight="1"/>
    <x:row r="226" ht="15.75" customHeight="1"/>
    <x:row r="227" ht="15.75" customHeight="1"/>
    <x:row r="228" ht="15.75" customHeight="1"/>
    <x:row r="229" ht="15.75" customHeight="1"/>
    <x:row r="230" ht="15.75" customHeight="1"/>
    <x:row r="231" ht="15.75" customHeight="1"/>
    <x:row r="232" ht="15.75" customHeight="1"/>
    <x:row r="233" ht="15.75" customHeight="1"/>
    <x:row r="234" ht="15.75" customHeight="1"/>
    <x:row r="235" ht="15.75" customHeight="1"/>
    <x:row r="236" ht="15.75" customHeight="1"/>
    <x:row r="237" ht="15.75" customHeight="1"/>
    <x:row r="238" ht="15.75" customHeight="1"/>
    <x:row r="239" ht="15.75" customHeight="1"/>
    <x:row r="240" ht="15.75" customHeight="1"/>
    <x:row r="241" ht="15.75" customHeight="1"/>
    <x:row r="242" ht="15.75" customHeight="1"/>
    <x:row r="243" ht="15.75" customHeight="1"/>
    <x:row r="244" ht="15.75" customHeight="1"/>
    <x:row r="245" ht="15.75" customHeight="1"/>
    <x:row r="246" ht="15.75" customHeight="1"/>
    <x:row r="247" ht="15.75" customHeight="1"/>
    <x:row r="248" ht="15.75" customHeight="1"/>
    <x:row r="249" ht="15.75" customHeight="1"/>
    <x:row r="250" ht="15.75" customHeight="1"/>
    <x:row r="251" ht="15.75" customHeight="1"/>
    <x:row r="252" ht="15.75" customHeight="1"/>
    <x:row r="253" ht="15.75" customHeight="1"/>
    <x:row r="254" ht="15.75" customHeight="1"/>
    <x:row r="255" ht="15.75" customHeight="1"/>
    <x:row r="256" ht="15.75" customHeight="1"/>
    <x:row r="257" ht="15.75" customHeight="1"/>
    <x:row r="258" ht="15.75" customHeight="1"/>
    <x:row r="259" ht="15.75" customHeight="1"/>
    <x:row r="260" ht="15.75" customHeight="1"/>
    <x:row r="261" ht="15.75" customHeight="1"/>
    <x:row r="262" ht="15.75" customHeight="1"/>
    <x:row r="263" ht="15.75" customHeight="1"/>
    <x:row r="264" ht="15.75" customHeight="1"/>
    <x:row r="265" ht="15.75" customHeight="1"/>
    <x:row r="266" ht="15.75" customHeight="1"/>
    <x:row r="267" ht="15.75" customHeight="1"/>
    <x:row r="268" ht="15.75" customHeight="1"/>
    <x:row r="269" ht="15.75" customHeight="1"/>
    <x:row r="270" ht="15.75" customHeight="1"/>
    <x:row r="271" ht="15.75" customHeight="1"/>
    <x:row r="272" ht="15.75" customHeight="1"/>
    <x:row r="273" ht="15.75" customHeight="1"/>
    <x:row r="274" ht="15.75" customHeight="1"/>
    <x:row r="275" ht="15.75" customHeight="1"/>
    <x:row r="276" ht="15.75" customHeight="1"/>
    <x:row r="277" ht="15.75" customHeight="1"/>
    <x:row r="278" ht="15.75" customHeight="1"/>
    <x:row r="279" ht="15.75" customHeight="1"/>
    <x:row r="280" ht="15.75" customHeight="1"/>
    <x:row r="281" ht="15.75" customHeight="1"/>
    <x:row r="282" ht="15.75" customHeight="1"/>
    <x:row r="283" ht="15.75" customHeight="1"/>
    <x:row r="284" ht="15.75" customHeight="1"/>
    <x:row r="285" ht="15.75" customHeight="1"/>
    <x:row r="286" ht="15.75" customHeight="1"/>
    <x:row r="287" ht="15.75" customHeight="1"/>
    <x:row r="288" ht="15.75" customHeight="1"/>
    <x:row r="289" ht="15.75" customHeight="1"/>
    <x:row r="290" ht="15.75" customHeight="1"/>
    <x:row r="291" ht="15.75" customHeight="1"/>
    <x:row r="292" ht="15.75" customHeight="1"/>
    <x:row r="293" ht="15.75" customHeight="1"/>
    <x:row r="294" ht="15.75" customHeight="1"/>
    <x:row r="295" ht="15.75" customHeight="1"/>
    <x:row r="296" ht="15.75" customHeight="1"/>
    <x:row r="297" ht="15.75" customHeight="1"/>
    <x:row r="298" ht="15.75" customHeight="1"/>
    <x:row r="299" ht="15.75" customHeight="1"/>
    <x:row r="300" ht="15.75" customHeight="1"/>
    <x:row r="301" ht="15.75" customHeight="1"/>
    <x:row r="302" ht="15.75" customHeight="1"/>
    <x:row r="303" ht="15.75" customHeight="1"/>
    <x:row r="304" ht="15.75" customHeight="1"/>
    <x:row r="305" ht="15.75" customHeight="1"/>
    <x:row r="306" ht="15.75" customHeight="1"/>
    <x:row r="307" ht="15.75" customHeight="1"/>
    <x:row r="308" ht="15.75" customHeight="1"/>
    <x:row r="309" ht="15.75" customHeight="1"/>
    <x:row r="310" ht="15.75" customHeight="1"/>
    <x:row r="311" ht="15.75" customHeight="1"/>
    <x:row r="312" ht="15.75" customHeight="1"/>
    <x:row r="313" ht="15.75" customHeight="1"/>
    <x:row r="314" ht="15.75" customHeight="1"/>
    <x:row r="315" ht="15.75" customHeight="1"/>
    <x:row r="316" ht="15.75" customHeight="1"/>
    <x:row r="317" ht="15.75" customHeight="1"/>
    <x:row r="318" ht="15.75" customHeight="1"/>
    <x:row r="319" ht="15.75" customHeight="1"/>
    <x:row r="320" ht="15.75" customHeight="1"/>
    <x:row r="321" ht="15.75" customHeight="1"/>
    <x:row r="322" ht="15.75" customHeight="1"/>
    <x:row r="323" ht="15.75" customHeight="1"/>
    <x:row r="324" ht="15.75" customHeight="1"/>
    <x:row r="325" ht="15.75" customHeight="1"/>
    <x:row r="326" ht="15.75" customHeight="1"/>
    <x:row r="327" ht="15.75" customHeight="1"/>
    <x:row r="328" ht="15.75" customHeight="1"/>
    <x:row r="329" ht="15.75" customHeight="1"/>
    <x:row r="330" ht="15.75" customHeight="1"/>
    <x:row r="331" ht="15.75" customHeight="1"/>
    <x:row r="332" ht="15.75" customHeight="1"/>
    <x:row r="333" ht="15.75" customHeight="1"/>
    <x:row r="334" ht="15.75" customHeight="1"/>
    <x:row r="335" ht="15.75" customHeight="1"/>
    <x:row r="336" ht="15.75" customHeight="1"/>
    <x:row r="337" ht="15.75" customHeight="1"/>
    <x:row r="338" ht="15.75" customHeight="1"/>
    <x:row r="339" ht="15.75" customHeight="1"/>
    <x:row r="340" ht="15.75" customHeight="1"/>
    <x:row r="341" ht="15.75" customHeight="1"/>
    <x:row r="342" ht="15.75" customHeight="1"/>
    <x:row r="343" ht="15.75" customHeight="1"/>
    <x:row r="344" ht="15.75" customHeight="1"/>
    <x:row r="345" ht="15.75" customHeight="1"/>
    <x:row r="346" ht="15.75" customHeight="1"/>
    <x:row r="347" ht="15.75" customHeight="1"/>
    <x:row r="348" ht="15.75" customHeight="1"/>
    <x:row r="349" ht="15.75" customHeight="1"/>
    <x:row r="350" ht="15.75" customHeight="1"/>
    <x:row r="351" ht="15.75" customHeight="1"/>
    <x:row r="352" ht="15.75" customHeight="1"/>
    <x:row r="353" ht="15.75" customHeight="1"/>
    <x:row r="354" ht="15.75" customHeight="1"/>
    <x:row r="355" ht="15.75" customHeight="1"/>
    <x:row r="356" ht="15.75" customHeight="1"/>
    <x:row r="357" ht="15.75" customHeight="1"/>
    <x:row r="358" ht="15.75" customHeight="1"/>
    <x:row r="359" ht="15.75" customHeight="1"/>
    <x:row r="360" ht="15.75" customHeight="1"/>
    <x:row r="361" ht="15.75" customHeight="1"/>
    <x:row r="362" ht="15.75" customHeight="1"/>
    <x:row r="363" ht="15.75" customHeight="1"/>
    <x:row r="364" ht="15.75" customHeight="1"/>
    <x:row r="365" ht="15.75" customHeight="1"/>
    <x:row r="366" ht="15.75" customHeight="1"/>
    <x:row r="367" ht="15.75" customHeight="1"/>
    <x:row r="368" ht="15.75" customHeight="1"/>
    <x:row r="369" ht="15.75" customHeight="1"/>
    <x:row r="370" ht="15.75" customHeight="1"/>
    <x:row r="371" ht="15.75" customHeight="1"/>
    <x:row r="372" ht="15.75" customHeight="1"/>
    <x:row r="373" ht="15.75" customHeight="1"/>
    <x:row r="374" ht="15.75" customHeight="1"/>
    <x:row r="375" ht="15.75" customHeight="1"/>
    <x:row r="376" ht="15.75" customHeight="1"/>
    <x:row r="377" ht="15.75" customHeight="1"/>
    <x:row r="378" ht="15.75" customHeight="1"/>
    <x:row r="379" ht="15.75" customHeight="1"/>
    <x:row r="380" ht="15.75" customHeight="1"/>
    <x:row r="381" ht="15.75" customHeight="1"/>
    <x:row r="382" ht="15.75" customHeight="1"/>
    <x:row r="383" ht="15.75" customHeight="1"/>
    <x:row r="384" ht="15.75" customHeight="1"/>
    <x:row r="385" ht="15.75" customHeight="1"/>
    <x:row r="386" ht="15.75" customHeight="1"/>
    <x:row r="387" ht="15.75" customHeight="1"/>
    <x:row r="388" ht="15.75" customHeight="1"/>
    <x:row r="389" ht="15.75" customHeight="1"/>
    <x:row r="390" ht="15.75" customHeight="1"/>
    <x:row r="391" ht="15.75" customHeight="1"/>
    <x:row r="392" ht="15.75" customHeight="1"/>
    <x:row r="393" ht="15.75" customHeight="1"/>
    <x:row r="394" ht="15.75" customHeight="1"/>
    <x:row r="395" ht="15.75" customHeight="1"/>
    <x:row r="396" ht="15.75" customHeight="1"/>
    <x:row r="397" ht="15.75" customHeight="1"/>
    <x:row r="398" ht="15.75" customHeight="1"/>
    <x:row r="399" ht="15.75" customHeight="1"/>
    <x:row r="400" ht="15.75" customHeight="1"/>
    <x:row r="401" ht="15.75" customHeight="1"/>
    <x:row r="402" ht="15.75" customHeight="1"/>
    <x:row r="403" ht="15.75" customHeight="1"/>
    <x:row r="404" ht="15.75" customHeight="1"/>
    <x:row r="405" ht="15.75" customHeight="1"/>
    <x:row r="406" ht="15.75" customHeight="1"/>
    <x:row r="407" ht="15.75" customHeight="1"/>
    <x:row r="408" ht="15.75" customHeight="1"/>
    <x:row r="409" ht="15.75" customHeight="1"/>
    <x:row r="410" ht="15.75" customHeight="1"/>
    <x:row r="411" ht="15.75" customHeight="1"/>
    <x:row r="412" ht="15.75" customHeight="1"/>
    <x:row r="413" ht="15.75" customHeight="1"/>
    <x:row r="414" ht="15.75" customHeight="1"/>
    <x:row r="415" ht="15.75" customHeight="1"/>
    <x:row r="416" ht="15.75" customHeight="1"/>
    <x:row r="417" ht="15.75" customHeight="1"/>
    <x:row r="418" ht="15.75" customHeight="1"/>
    <x:row r="419" ht="15.75" customHeight="1"/>
    <x:row r="420" ht="15.75" customHeight="1"/>
    <x:row r="421" ht="15.75" customHeight="1"/>
    <x:row r="422" ht="15.75" customHeight="1"/>
    <x:row r="423" ht="15.75" customHeight="1"/>
    <x:row r="424" ht="15.75" customHeight="1"/>
    <x:row r="425" ht="15.75" customHeight="1"/>
    <x:row r="426" ht="15.75" customHeight="1"/>
    <x:row r="427" ht="15.75" customHeight="1"/>
    <x:row r="428" ht="15.75" customHeight="1"/>
    <x:row r="429" ht="15.75" customHeight="1"/>
    <x:row r="430" ht="15.75" customHeight="1"/>
    <x:row r="431" ht="15.75" customHeight="1"/>
    <x:row r="432" ht="15.75" customHeight="1"/>
    <x:row r="433" ht="15.75" customHeight="1"/>
    <x:row r="434" ht="15.75" customHeight="1"/>
    <x:row r="435" ht="15.75" customHeight="1"/>
    <x:row r="436" ht="15.75" customHeight="1"/>
    <x:row r="437" ht="15.75" customHeight="1"/>
    <x:row r="438" ht="15.75" customHeight="1"/>
    <x:row r="439" ht="15.75" customHeight="1"/>
    <x:row r="440" ht="15.75" customHeight="1"/>
    <x:row r="441" ht="15.75" customHeight="1"/>
    <x:row r="442" ht="15.75" customHeight="1"/>
    <x:row r="443" ht="15.75" customHeight="1"/>
    <x:row r="444" ht="15.75" customHeight="1"/>
    <x:row r="445" ht="15.75" customHeight="1"/>
    <x:row r="446" ht="15.75" customHeight="1"/>
    <x:row r="447" ht="15.75" customHeight="1"/>
    <x:row r="448" ht="15.75" customHeight="1"/>
    <x:row r="449" ht="15.75" customHeight="1"/>
    <x:row r="450" ht="15.75" customHeight="1"/>
    <x:row r="451" ht="15.75" customHeight="1"/>
    <x:row r="452" ht="15.75" customHeight="1"/>
    <x:row r="453" ht="15.75" customHeight="1"/>
    <x:row r="454" ht="15.75" customHeight="1"/>
    <x:row r="455" ht="15.75" customHeight="1"/>
    <x:row r="456" ht="15.75" customHeight="1"/>
    <x:row r="457" ht="15.75" customHeight="1"/>
    <x:row r="458" ht="15.75" customHeight="1"/>
    <x:row r="459" ht="15.75" customHeight="1"/>
    <x:row r="460" ht="15.75" customHeight="1"/>
    <x:row r="461" ht="15.75" customHeight="1"/>
    <x:row r="462" ht="15.75" customHeight="1"/>
    <x:row r="463" ht="15.75" customHeight="1"/>
    <x:row r="464" ht="15.75" customHeight="1"/>
    <x:row r="465" ht="15.75" customHeight="1"/>
    <x:row r="466" ht="15.75" customHeight="1"/>
    <x:row r="467" ht="15.75" customHeight="1"/>
    <x:row r="468" ht="15.75" customHeight="1"/>
    <x:row r="469" ht="15.75" customHeight="1"/>
    <x:row r="470" ht="15.75" customHeight="1"/>
    <x:row r="471" ht="15.75" customHeight="1"/>
    <x:row r="472" ht="15.75" customHeight="1"/>
    <x:row r="473" ht="15.75" customHeight="1"/>
    <x:row r="474" ht="15.75" customHeight="1"/>
    <x:row r="475" ht="15.75" customHeight="1"/>
    <x:row r="476" ht="15.75" customHeight="1"/>
    <x:row r="477" ht="15.75" customHeight="1"/>
    <x:row r="478" ht="15.75" customHeight="1"/>
    <x:row r="479" ht="15.75" customHeight="1"/>
    <x:row r="480" ht="15.75" customHeight="1"/>
    <x:row r="481" ht="15.75" customHeight="1"/>
    <x:row r="482" ht="15.75" customHeight="1"/>
    <x:row r="483" ht="15.75" customHeight="1"/>
    <x:row r="484" ht="15.75" customHeight="1"/>
    <x:row r="485" ht="15.75" customHeight="1"/>
    <x:row r="486" ht="15.75" customHeight="1"/>
    <x:row r="487" ht="15.75" customHeight="1"/>
    <x:row r="488" ht="15.75" customHeight="1"/>
    <x:row r="489" ht="15.75" customHeight="1"/>
    <x:row r="490" ht="15.75" customHeight="1"/>
    <x:row r="491" ht="15.75" customHeight="1"/>
    <x:row r="492" ht="15.75" customHeight="1"/>
    <x:row r="493" ht="15.75" customHeight="1"/>
    <x:row r="494" ht="15.75" customHeight="1"/>
    <x:row r="495" ht="15.75" customHeight="1"/>
    <x:row r="496" ht="15.75" customHeight="1"/>
    <x:row r="497" ht="15.75" customHeight="1"/>
    <x:row r="498" ht="15.75" customHeight="1"/>
    <x:row r="499" ht="15.75" customHeight="1"/>
    <x:row r="500" ht="15.75" customHeight="1"/>
    <x:row r="501" ht="15.75" customHeight="1"/>
    <x:row r="502" ht="15.75" customHeight="1"/>
    <x:row r="503" ht="15.75" customHeight="1"/>
    <x:row r="504" ht="15.75" customHeight="1"/>
    <x:row r="505" ht="15.75" customHeight="1"/>
    <x:row r="506" ht="15.75" customHeight="1"/>
    <x:row r="507" ht="15.75" customHeight="1"/>
    <x:row r="508" ht="15.75" customHeight="1"/>
    <x:row r="509" ht="15.75" customHeight="1"/>
    <x:row r="510" ht="15.75" customHeight="1"/>
    <x:row r="511" ht="15.75" customHeight="1"/>
    <x:row r="512" ht="15.75" customHeight="1"/>
    <x:row r="513" ht="15.75" customHeight="1"/>
    <x:row r="514" ht="15.75" customHeight="1"/>
    <x:row r="515" ht="15.75" customHeight="1"/>
    <x:row r="516" ht="15.75" customHeight="1"/>
    <x:row r="517" ht="15.75" customHeight="1"/>
    <x:row r="518" ht="15.75" customHeight="1"/>
    <x:row r="519" ht="15.75" customHeight="1"/>
    <x:row r="520" ht="15.75" customHeight="1"/>
    <x:row r="521" ht="15.75" customHeight="1"/>
    <x:row r="522" ht="15.75" customHeight="1"/>
    <x:row r="523" ht="15.75" customHeight="1"/>
    <x:row r="524" ht="15.75" customHeight="1"/>
    <x:row r="525" ht="15.75" customHeight="1"/>
    <x:row r="526" ht="15.75" customHeight="1"/>
    <x:row r="527" ht="15.75" customHeight="1"/>
    <x:row r="528" ht="15.75" customHeight="1"/>
    <x:row r="529" ht="15.75" customHeight="1"/>
    <x:row r="530" ht="15.75" customHeight="1"/>
    <x:row r="531" ht="15.75" customHeight="1"/>
    <x:row r="532" ht="15.75" customHeight="1"/>
    <x:row r="533" ht="15.75" customHeight="1"/>
    <x:row r="534" ht="15.75" customHeight="1"/>
    <x:row r="535" ht="15.75" customHeight="1"/>
    <x:row r="536" ht="15.75" customHeight="1"/>
    <x:row r="537" ht="15.75" customHeight="1"/>
    <x:row r="538" ht="15.75" customHeight="1"/>
    <x:row r="539" ht="15.75" customHeight="1"/>
    <x:row r="540" ht="15.75" customHeight="1"/>
    <x:row r="541" ht="15.75" customHeight="1"/>
    <x:row r="542" ht="15.75" customHeight="1"/>
    <x:row r="543" ht="15.75" customHeight="1"/>
    <x:row r="544" ht="15.75" customHeight="1"/>
    <x:row r="545" ht="15.75" customHeight="1"/>
    <x:row r="546" ht="15.75" customHeight="1"/>
    <x:row r="547" ht="15.75" customHeight="1"/>
    <x:row r="548" ht="15.75" customHeight="1"/>
    <x:row r="549" ht="15.75" customHeight="1"/>
    <x:row r="550" ht="15.75" customHeight="1"/>
    <x:row r="551" ht="15.75" customHeight="1"/>
    <x:row r="552" ht="15.75" customHeight="1"/>
    <x:row r="553" ht="15.75" customHeight="1"/>
    <x:row r="554" ht="15.75" customHeight="1"/>
    <x:row r="555" ht="15.75" customHeight="1"/>
    <x:row r="556" ht="15.75" customHeight="1"/>
    <x:row r="557" ht="15.75" customHeight="1"/>
    <x:row r="558" ht="15.75" customHeight="1"/>
    <x:row r="559" ht="15.75" customHeight="1"/>
    <x:row r="560" ht="15.75" customHeight="1"/>
    <x:row r="561" ht="15.75" customHeight="1"/>
    <x:row r="562" ht="15.75" customHeight="1"/>
    <x:row r="563" ht="15.75" customHeight="1"/>
    <x:row r="564" ht="15.75" customHeight="1"/>
    <x:row r="565" ht="15.75" customHeight="1"/>
    <x:row r="566" ht="15.75" customHeight="1"/>
    <x:row r="567" ht="15.75" customHeight="1"/>
    <x:row r="568" ht="15.75" customHeight="1"/>
    <x:row r="569" ht="15.75" customHeight="1"/>
    <x:row r="570" ht="15.75" customHeight="1"/>
    <x:row r="571" ht="15.75" customHeight="1"/>
    <x:row r="572" ht="15.75" customHeight="1"/>
    <x:row r="573" ht="15.75" customHeight="1"/>
    <x:row r="574" ht="15.75" customHeight="1"/>
    <x:row r="575" ht="15.75" customHeight="1"/>
    <x:row r="576" ht="15.75" customHeight="1"/>
    <x:row r="577" ht="15.75" customHeight="1"/>
    <x:row r="578" ht="15.75" customHeight="1"/>
    <x:row r="579" ht="15.75" customHeight="1"/>
    <x:row r="580" ht="15.75" customHeight="1"/>
    <x:row r="581" ht="15.75" customHeight="1"/>
    <x:row r="582" ht="15.75" customHeight="1"/>
    <x:row r="583" ht="15.75" customHeight="1"/>
    <x:row r="584" ht="15.75" customHeight="1"/>
    <x:row r="585" ht="15.75" customHeight="1"/>
    <x:row r="586" ht="15.75" customHeight="1"/>
    <x:row r="587" ht="15.75" customHeight="1"/>
    <x:row r="588" ht="15.75" customHeight="1"/>
    <x:row r="589" ht="15.75" customHeight="1"/>
    <x:row r="590" ht="15.75" customHeight="1"/>
    <x:row r="591" ht="15.75" customHeight="1"/>
    <x:row r="592" ht="15.75" customHeight="1"/>
    <x:row r="593" ht="15.75" customHeight="1"/>
    <x:row r="594" ht="15.75" customHeight="1"/>
    <x:row r="595" ht="15.75" customHeight="1"/>
    <x:row r="596" ht="15.75" customHeight="1"/>
    <x:row r="597" ht="15.75" customHeight="1"/>
    <x:row r="598" ht="15.75" customHeight="1"/>
    <x:row r="599" ht="15.75" customHeight="1"/>
    <x:row r="600" ht="15.75" customHeight="1"/>
    <x:row r="601" ht="15.75" customHeight="1"/>
    <x:row r="602" ht="15.75" customHeight="1"/>
    <x:row r="603" ht="15.75" customHeight="1"/>
    <x:row r="604" ht="15.75" customHeight="1"/>
    <x:row r="605" ht="15.75" customHeight="1"/>
    <x:row r="606" ht="15.75" customHeight="1"/>
    <x:row r="607" ht="15.75" customHeight="1"/>
    <x:row r="608" ht="15.75" customHeight="1"/>
    <x:row r="609" ht="15.75" customHeight="1"/>
    <x:row r="610" ht="15.75" customHeight="1"/>
    <x:row r="611" ht="15.75" customHeight="1"/>
    <x:row r="612" ht="15.75" customHeight="1"/>
    <x:row r="613" ht="15.75" customHeight="1"/>
    <x:row r="614" ht="15.75" customHeight="1"/>
    <x:row r="615" ht="15.75" customHeight="1"/>
    <x:row r="616" ht="15.75" customHeight="1"/>
    <x:row r="617" ht="15.75" customHeight="1"/>
    <x:row r="618" ht="15.75" customHeight="1"/>
    <x:row r="619" ht="15.75" customHeight="1"/>
    <x:row r="620" ht="15.75" customHeight="1"/>
    <x:row r="621" ht="15.75" customHeight="1"/>
    <x:row r="622" ht="15.75" customHeight="1"/>
    <x:row r="623" ht="15.75" customHeight="1"/>
    <x:row r="624" ht="15.75" customHeight="1"/>
    <x:row r="625" ht="15.75" customHeight="1"/>
    <x:row r="626" ht="15.75" customHeight="1"/>
    <x:row r="627" ht="15.75" customHeight="1"/>
    <x:row r="628" ht="15.75" customHeight="1"/>
    <x:row r="629" ht="15.75" customHeight="1"/>
    <x:row r="630" ht="15.75" customHeight="1"/>
    <x:row r="631" ht="15.75" customHeight="1"/>
    <x:row r="632" ht="15.75" customHeight="1"/>
    <x:row r="633" ht="15.75" customHeight="1"/>
    <x:row r="634" ht="15.75" customHeight="1"/>
    <x:row r="635" ht="15.75" customHeight="1"/>
    <x:row r="636" ht="15.75" customHeight="1"/>
    <x:row r="637" ht="15.75" customHeight="1"/>
    <x:row r="638" ht="15.75" customHeight="1"/>
    <x:row r="639" ht="15.75" customHeight="1"/>
    <x:row r="640" ht="15.75" customHeight="1"/>
    <x:row r="641" ht="15.75" customHeight="1"/>
    <x:row r="642" ht="15.75" customHeight="1"/>
    <x:row r="643" ht="15.75" customHeight="1"/>
    <x:row r="644" ht="15.75" customHeight="1"/>
    <x:row r="645" ht="15.75" customHeight="1"/>
    <x:row r="646" ht="15.75" customHeight="1"/>
    <x:row r="647" ht="15.75" customHeight="1"/>
    <x:row r="648" ht="15.75" customHeight="1"/>
    <x:row r="649" ht="15.75" customHeight="1"/>
    <x:row r="650" ht="15.75" customHeight="1"/>
    <x:row r="651" ht="15.75" customHeight="1"/>
    <x:row r="652" ht="15.75" customHeight="1"/>
    <x:row r="653" ht="15.75" customHeight="1"/>
    <x:row r="654" ht="15.75" customHeight="1"/>
    <x:row r="655" ht="15.75" customHeight="1"/>
    <x:row r="656" ht="15.75" customHeight="1"/>
    <x:row r="657" ht="15.75" customHeight="1"/>
    <x:row r="658" ht="15.75" customHeight="1"/>
    <x:row r="659" ht="15.75" customHeight="1"/>
    <x:row r="660" ht="15.75" customHeight="1"/>
    <x:row r="661" ht="15.75" customHeight="1"/>
    <x:row r="662" ht="15.75" customHeight="1"/>
    <x:row r="663" ht="15.75" customHeight="1"/>
    <x:row r="664" ht="15.75" customHeight="1"/>
    <x:row r="665" ht="15.75" customHeight="1"/>
    <x:row r="666" ht="15.75" customHeight="1"/>
    <x:row r="667" ht="15.75" customHeight="1"/>
    <x:row r="668" ht="15.75" customHeight="1"/>
    <x:row r="669" ht="15.75" customHeight="1"/>
    <x:row r="670" ht="15.75" customHeight="1"/>
    <x:row r="671" ht="15.75" customHeight="1"/>
    <x:row r="672" ht="15.75" customHeight="1"/>
    <x:row r="673" ht="15.75" customHeight="1"/>
    <x:row r="674" ht="15.75" customHeight="1"/>
    <x:row r="675" ht="15.75" customHeight="1"/>
    <x:row r="676" ht="15.75" customHeight="1"/>
    <x:row r="677" ht="15.75" customHeight="1"/>
    <x:row r="678" ht="15.75" customHeight="1"/>
    <x:row r="679" ht="15.75" customHeight="1"/>
    <x:row r="680" ht="15.75" customHeight="1"/>
    <x:row r="681" ht="15.75" customHeight="1"/>
    <x:row r="682" ht="15.75" customHeight="1"/>
    <x:row r="683" ht="15.75" customHeight="1"/>
    <x:row r="684" ht="15.75" customHeight="1"/>
    <x:row r="685" ht="15.75" customHeight="1"/>
    <x:row r="686" ht="15.75" customHeight="1"/>
    <x:row r="687" ht="15.75" customHeight="1"/>
    <x:row r="688" ht="15.75" customHeight="1"/>
    <x:row r="689" ht="15.75" customHeight="1"/>
    <x:row r="690" ht="15.75" customHeight="1"/>
    <x:row r="691" ht="15.75" customHeight="1"/>
    <x:row r="692" ht="15.75" customHeight="1"/>
    <x:row r="693" ht="15.75" customHeight="1"/>
    <x:row r="694" ht="15.75" customHeight="1"/>
    <x:row r="695" ht="15.75" customHeight="1"/>
    <x:row r="696" ht="15.75" customHeight="1"/>
    <x:row r="697" ht="15.75" customHeight="1"/>
    <x:row r="698" ht="15.75" customHeight="1"/>
    <x:row r="699" ht="15.75" customHeight="1"/>
    <x:row r="700" ht="15.75" customHeight="1"/>
    <x:row r="701" ht="15.75" customHeight="1"/>
    <x:row r="702" ht="15.75" customHeight="1"/>
    <x:row r="703" ht="15.75" customHeight="1"/>
    <x:row r="704" ht="15.75" customHeight="1"/>
    <x:row r="705" ht="15.75" customHeight="1"/>
    <x:row r="706" ht="15.75" customHeight="1"/>
    <x:row r="707" ht="15.75" customHeight="1"/>
    <x:row r="708" ht="15.75" customHeight="1"/>
    <x:row r="709" ht="15.75" customHeight="1"/>
    <x:row r="710" ht="15.75" customHeight="1"/>
    <x:row r="711" ht="15.75" customHeight="1"/>
    <x:row r="712" ht="15.75" customHeight="1"/>
    <x:row r="713" ht="15.75" customHeight="1"/>
    <x:row r="714" ht="15.75" customHeight="1"/>
    <x:row r="715" ht="15.75" customHeight="1"/>
    <x:row r="716" ht="15.75" customHeight="1"/>
    <x:row r="717" ht="15.75" customHeight="1"/>
    <x:row r="718" ht="15.75" customHeight="1"/>
    <x:row r="719" ht="15.75" customHeight="1"/>
    <x:row r="720" ht="15.75" customHeight="1"/>
    <x:row r="721" ht="15.75" customHeight="1"/>
    <x:row r="722" ht="15.75" customHeight="1"/>
    <x:row r="723" ht="15.75" customHeight="1"/>
    <x:row r="724" ht="15.75" customHeight="1"/>
    <x:row r="725" ht="15.75" customHeight="1"/>
    <x:row r="726" ht="15.75" customHeight="1"/>
    <x:row r="727" ht="15.75" customHeight="1"/>
    <x:row r="728" ht="15.75" customHeight="1"/>
    <x:row r="729" ht="15.75" customHeight="1"/>
    <x:row r="730" ht="15.75" customHeight="1"/>
    <x:row r="731" ht="15.75" customHeight="1"/>
    <x:row r="732" ht="15.75" customHeight="1"/>
    <x:row r="733" ht="15.75" customHeight="1"/>
    <x:row r="734" ht="15.75" customHeight="1"/>
    <x:row r="735" ht="15.75" customHeight="1"/>
    <x:row r="736" ht="15.75" customHeight="1"/>
    <x:row r="737" ht="15.75" customHeight="1"/>
    <x:row r="738" ht="15.75" customHeight="1"/>
    <x:row r="739" ht="15.75" customHeight="1"/>
    <x:row r="740" ht="15.75" customHeight="1"/>
    <x:row r="741" ht="15.75" customHeight="1"/>
    <x:row r="742" ht="15.75" customHeight="1"/>
    <x:row r="743" ht="15.75" customHeight="1"/>
    <x:row r="744" ht="15.75" customHeight="1"/>
    <x:row r="745" ht="15.75" customHeight="1"/>
    <x:row r="746" ht="15.75" customHeight="1"/>
    <x:row r="747" ht="15.75" customHeight="1"/>
    <x:row r="748" ht="15.75" customHeight="1"/>
    <x:row r="749" ht="15.75" customHeight="1"/>
    <x:row r="750" ht="15.75" customHeight="1"/>
    <x:row r="751" ht="15.75" customHeight="1"/>
    <x:row r="752" ht="15.75" customHeight="1"/>
    <x:row r="753" ht="15.75" customHeight="1"/>
    <x:row r="754" ht="15.75" customHeight="1"/>
    <x:row r="755" ht="15.75" customHeight="1"/>
    <x:row r="756" ht="15.75" customHeight="1"/>
    <x:row r="757" ht="15.75" customHeight="1"/>
    <x:row r="758" ht="15.75" customHeight="1"/>
    <x:row r="759" ht="15.75" customHeight="1"/>
    <x:row r="760" ht="15.75" customHeight="1"/>
    <x:row r="761" ht="15.75" customHeight="1"/>
    <x:row r="762" ht="15.75" customHeight="1"/>
    <x:row r="763" ht="15.75" customHeight="1"/>
    <x:row r="764" ht="15.75" customHeight="1"/>
    <x:row r="765" ht="15.75" customHeight="1"/>
    <x:row r="766" ht="15.75" customHeight="1"/>
    <x:row r="767" ht="15.75" customHeight="1"/>
    <x:row r="768" ht="15.75" customHeight="1"/>
    <x:row r="769" ht="15.75" customHeight="1"/>
    <x:row r="770" ht="15.75" customHeight="1"/>
    <x:row r="771" ht="15.75" customHeight="1"/>
    <x:row r="772" ht="15.75" customHeight="1"/>
    <x:row r="773" ht="15.75" customHeight="1"/>
    <x:row r="774" ht="15.75" customHeight="1"/>
    <x:row r="775" ht="15.75" customHeight="1"/>
    <x:row r="776" ht="15.75" customHeight="1"/>
    <x:row r="777" ht="15.75" customHeight="1"/>
    <x:row r="778" ht="15.75" customHeight="1"/>
    <x:row r="779" ht="15.75" customHeight="1"/>
    <x:row r="780" ht="15.75" customHeight="1"/>
    <x:row r="781" ht="15.75" customHeight="1"/>
    <x:row r="782" ht="15.75" customHeight="1"/>
    <x:row r="783" ht="15.75" customHeight="1"/>
    <x:row r="784" ht="15.75" customHeight="1"/>
    <x:row r="785" ht="15.75" customHeight="1"/>
    <x:row r="786" ht="15.75" customHeight="1"/>
    <x:row r="787" ht="15.75" customHeight="1"/>
    <x:row r="788" ht="15.75" customHeight="1"/>
    <x:row r="789" ht="15.75" customHeight="1"/>
    <x:row r="790" ht="15.75" customHeight="1"/>
    <x:row r="791" ht="15.75" customHeight="1"/>
    <x:row r="792" ht="15.75" customHeight="1"/>
    <x:row r="793" ht="15.75" customHeight="1"/>
    <x:row r="794" ht="15.75" customHeight="1"/>
    <x:row r="795" ht="15.75" customHeight="1"/>
    <x:row r="796" ht="15.75" customHeight="1"/>
    <x:row r="797" ht="15.75" customHeight="1"/>
    <x:row r="798" ht="15.75" customHeight="1"/>
    <x:row r="799" ht="15.75" customHeight="1"/>
    <x:row r="800" ht="15.75" customHeight="1"/>
    <x:row r="801" ht="15.75" customHeight="1"/>
    <x:row r="802" ht="15.75" customHeight="1"/>
    <x:row r="803" ht="15.75" customHeight="1"/>
    <x:row r="804" ht="15.75" customHeight="1"/>
    <x:row r="805" ht="15.75" customHeight="1"/>
    <x:row r="806" ht="15.75" customHeight="1"/>
    <x:row r="807" ht="15.75" customHeight="1"/>
    <x:row r="808" ht="15.75" customHeight="1"/>
    <x:row r="809" ht="15.75" customHeight="1"/>
    <x:row r="810" ht="15.75" customHeight="1"/>
    <x:row r="811" ht="15.75" customHeight="1"/>
    <x:row r="812" ht="15.75" customHeight="1"/>
    <x:row r="813" ht="15.75" customHeight="1"/>
    <x:row r="814" ht="15.75" customHeight="1"/>
    <x:row r="815" ht="15.75" customHeight="1"/>
    <x:row r="816" ht="15.75" customHeight="1"/>
    <x:row r="817" ht="15.75" customHeight="1"/>
    <x:row r="818" ht="15.75" customHeight="1"/>
    <x:row r="819" ht="15.75" customHeight="1"/>
    <x:row r="820" ht="15.75" customHeight="1"/>
    <x:row r="821" ht="15.75" customHeight="1"/>
    <x:row r="822" ht="15.75" customHeight="1"/>
    <x:row r="823" ht="15.75" customHeight="1"/>
    <x:row r="824" ht="15.75" customHeight="1"/>
    <x:row r="825" ht="15.75" customHeight="1"/>
    <x:row r="826" ht="15.75" customHeight="1"/>
    <x:row r="827" ht="15.75" customHeight="1"/>
    <x:row r="828" ht="15.75" customHeight="1"/>
    <x:row r="829" ht="15.75" customHeight="1"/>
    <x:row r="830" ht="15.75" customHeight="1"/>
    <x:row r="831" ht="15.75" customHeight="1"/>
    <x:row r="832" ht="15.75" customHeight="1"/>
    <x:row r="833" ht="15.75" customHeight="1"/>
    <x:row r="834" ht="15.75" customHeight="1"/>
    <x:row r="835" ht="15.75" customHeight="1"/>
    <x:row r="836" ht="15.75" customHeight="1"/>
    <x:row r="837" ht="15.75" customHeight="1"/>
    <x:row r="838" ht="15.75" customHeight="1"/>
    <x:row r="839" ht="15.75" customHeight="1"/>
    <x:row r="840" ht="15.75" customHeight="1"/>
    <x:row r="841" ht="15.75" customHeight="1"/>
    <x:row r="842" ht="15.75" customHeight="1"/>
    <x:row r="843" ht="15.75" customHeight="1"/>
    <x:row r="844" ht="15.75" customHeight="1"/>
    <x:row r="845" ht="15.75" customHeight="1"/>
    <x:row r="846" ht="15.75" customHeight="1"/>
    <x:row r="847" ht="15.75" customHeight="1"/>
    <x:row r="848" ht="15.75" customHeight="1"/>
    <x:row r="849" ht="15.75" customHeight="1"/>
    <x:row r="850" ht="15.75" customHeight="1"/>
    <x:row r="851" ht="15.75" customHeight="1"/>
    <x:row r="852" ht="15.75" customHeight="1"/>
    <x:row r="853" ht="15.75" customHeight="1"/>
    <x:row r="854" ht="15.75" customHeight="1"/>
    <x:row r="855" ht="15.75" customHeight="1"/>
    <x:row r="856" ht="15.75" customHeight="1"/>
    <x:row r="857" ht="15.75" customHeight="1"/>
    <x:row r="858" ht="15.75" customHeight="1"/>
    <x:row r="859" ht="15.75" customHeight="1"/>
    <x:row r="860" ht="15.75" customHeight="1"/>
    <x:row r="861" ht="15.75" customHeight="1"/>
    <x:row r="862" ht="15.75" customHeight="1"/>
    <x:row r="863" ht="15.75" customHeight="1"/>
    <x:row r="864" ht="15.75" customHeight="1"/>
    <x:row r="865" ht="15.75" customHeight="1"/>
    <x:row r="866" ht="15.75" customHeight="1"/>
    <x:row r="867" ht="15.75" customHeight="1"/>
    <x:row r="868" ht="15.75" customHeight="1"/>
    <x:row r="869" ht="15.75" customHeight="1"/>
    <x:row r="870" ht="15.75" customHeight="1"/>
    <x:row r="871" ht="15.75" customHeight="1"/>
    <x:row r="872" ht="15.75" customHeight="1"/>
    <x:row r="873" ht="15.75" customHeight="1"/>
    <x:row r="874" ht="15.75" customHeight="1"/>
    <x:row r="875" ht="15.75" customHeight="1"/>
    <x:row r="876" ht="15.75" customHeight="1"/>
    <x:row r="877" ht="15.75" customHeight="1"/>
    <x:row r="878" ht="15.75" customHeight="1"/>
    <x:row r="879" ht="15.75" customHeight="1"/>
    <x:row r="880" ht="15.75" customHeight="1"/>
    <x:row r="881" ht="15.75" customHeight="1"/>
    <x:row r="882" ht="15.75" customHeight="1"/>
    <x:row r="883" ht="15.75" customHeight="1"/>
    <x:row r="884" ht="15.75" customHeight="1"/>
    <x:row r="885" ht="15.75" customHeight="1"/>
    <x:row r="886" ht="15.75" customHeight="1"/>
    <x:row r="887" ht="15.75" customHeight="1"/>
    <x:row r="888" ht="15.75" customHeight="1"/>
    <x:row r="889" ht="15.75" customHeight="1"/>
    <x:row r="890" ht="15.75" customHeight="1"/>
    <x:row r="891" ht="15.75" customHeight="1"/>
    <x:row r="892" ht="15.75" customHeight="1"/>
    <x:row r="893" ht="15.75" customHeight="1"/>
    <x:row r="894" ht="15.75" customHeight="1"/>
    <x:row r="895" ht="15.75" customHeight="1"/>
    <x:row r="896" ht="15.75" customHeight="1"/>
    <x:row r="897" ht="15.75" customHeight="1"/>
    <x:row r="898" ht="15.75" customHeight="1"/>
    <x:row r="899" ht="15.75" customHeight="1"/>
    <x:row r="900" ht="15.75" customHeight="1"/>
    <x:row r="901" ht="15.75" customHeight="1"/>
    <x:row r="902" ht="15.75" customHeight="1"/>
    <x:row r="903" ht="15.75" customHeight="1"/>
    <x:row r="904" ht="15.75" customHeight="1"/>
    <x:row r="905" ht="15.75" customHeight="1"/>
    <x:row r="906" ht="15.75" customHeight="1"/>
    <x:row r="907" ht="15.75" customHeight="1"/>
    <x:row r="908" ht="15.75" customHeight="1"/>
    <x:row r="909" ht="15.75" customHeight="1"/>
    <x:row r="910" ht="15.75" customHeight="1"/>
    <x:row r="911" ht="15.75" customHeight="1"/>
    <x:row r="912" ht="15.75" customHeight="1"/>
    <x:row r="913" ht="15.75" customHeight="1"/>
    <x:row r="914" ht="15.75" customHeight="1"/>
    <x:row r="915" ht="15.75" customHeight="1"/>
    <x:row r="916" ht="15.75" customHeight="1"/>
    <x:row r="917" ht="15.75" customHeight="1"/>
    <x:row r="918" ht="15.75" customHeight="1"/>
    <x:row r="919" ht="15.75" customHeight="1"/>
    <x:row r="920" ht="15.75" customHeight="1"/>
    <x:row r="921" ht="15.75" customHeight="1"/>
    <x:row r="922" ht="15.75" customHeight="1"/>
    <x:row r="923" ht="15.75" customHeight="1"/>
    <x:row r="924" ht="15.75" customHeight="1"/>
    <x:row r="925" ht="15.75" customHeight="1"/>
    <x:row r="926" ht="15.75" customHeight="1"/>
    <x:row r="927" ht="15.75" customHeight="1"/>
    <x:row r="928" ht="15.75" customHeight="1"/>
    <x:row r="929" ht="15.75" customHeight="1"/>
    <x:row r="930" ht="15.75" customHeight="1"/>
    <x:row r="931" ht="15.75" customHeight="1"/>
    <x:row r="932" ht="15.75" customHeight="1"/>
    <x:row r="933" ht="15.75" customHeight="1"/>
    <x:row r="934" ht="15.75" customHeight="1"/>
    <x:row r="935" ht="15.75" customHeight="1"/>
    <x:row r="936" ht="15.75" customHeight="1"/>
    <x:row r="937" ht="15.75" customHeight="1"/>
    <x:row r="938" ht="15.75" customHeight="1"/>
    <x:row r="939" ht="15.75" customHeight="1"/>
    <x:row r="940" ht="15.75" customHeight="1"/>
    <x:row r="941" ht="15.75" customHeight="1"/>
    <x:row r="942" ht="15.75" customHeight="1"/>
    <x:row r="943" ht="15.75" customHeight="1"/>
    <x:row r="944" ht="15.75" customHeight="1"/>
    <x:row r="945" ht="15.75" customHeight="1"/>
    <x:row r="946" ht="15.75" customHeight="1"/>
    <x:row r="947" ht="15.75" customHeight="1"/>
    <x:row r="948" ht="15.75" customHeight="1"/>
    <x:row r="949" ht="15.75" customHeight="1"/>
    <x:row r="950" ht="15.75" customHeight="1"/>
    <x:row r="951" ht="15.75" customHeight="1"/>
    <x:row r="952" ht="15.75" customHeight="1"/>
    <x:row r="953" ht="15.75" customHeight="1"/>
    <x:row r="954" ht="15.75" customHeight="1"/>
    <x:row r="955" ht="15.75" customHeight="1"/>
    <x:row r="956" ht="15.75" customHeight="1"/>
    <x:row r="957" ht="15.75" customHeight="1"/>
    <x:row r="958" ht="15.75" customHeight="1"/>
    <x:row r="959" ht="15.75" customHeight="1"/>
    <x:row r="960" ht="15.75" customHeight="1"/>
    <x:row r="961" ht="15.75" customHeight="1"/>
    <x:row r="962" ht="15.75" customHeight="1"/>
    <x:row r="963" ht="15.75" customHeight="1"/>
    <x:row r="964" ht="15.75" customHeight="1"/>
    <x:row r="965" ht="15.75" customHeight="1"/>
    <x:row r="966" ht="15.75" customHeight="1"/>
    <x:row r="967" ht="15.75" customHeight="1"/>
    <x:row r="968" ht="15.75" customHeight="1"/>
    <x:row r="969" ht="15.75" customHeight="1"/>
    <x:row r="970" ht="15.75" customHeight="1"/>
    <x:row r="971" ht="15.75" customHeight="1"/>
    <x:row r="972" ht="15.75" customHeight="1"/>
    <x:row r="973" ht="15.75" customHeight="1"/>
    <x:row r="974" ht="15.75" customHeight="1"/>
    <x:row r="975" ht="15.75" customHeight="1"/>
    <x:row r="976" ht="15.75" customHeight="1"/>
    <x:row r="977" ht="15.75" customHeight="1"/>
    <x:row r="978" ht="15.75" customHeight="1"/>
    <x:row r="979" ht="15.75" customHeight="1"/>
    <x:row r="980" ht="15.75" customHeight="1"/>
    <x:row r="981" ht="15.75" customHeight="1"/>
    <x:row r="982" ht="15.75" customHeight="1"/>
    <x:row r="983" ht="15.75" customHeight="1"/>
    <x:row r="984" ht="15.75" customHeight="1"/>
    <x:row r="985" ht="15.75" customHeight="1"/>
    <x:row r="986" ht="15.75" customHeight="1"/>
    <x:row r="987" ht="15.75" customHeight="1"/>
    <x:row r="988" ht="15.75" customHeight="1"/>
    <x:row r="989" ht="15.75" customHeight="1"/>
    <x:row r="990" ht="15.75" customHeight="1"/>
    <x:row r="991" ht="15.75" customHeight="1"/>
    <x:row r="992" ht="15.75" customHeight="1"/>
    <x:row r="993" ht="15.75" customHeight="1"/>
    <x:row r="994" ht="15.75" customHeight="1"/>
    <x:row r="995" ht="15.75" customHeight="1"/>
    <x:row r="996" ht="15.75" customHeight="1"/>
    <x:row r="997" ht="15.75" customHeight="1"/>
    <x:row r="998" ht="15.75" customHeight="1"/>
    <x:row r="999" ht="15.75" customHeight="1"/>
    <x:row r="1000" ht="15.75" customHeight="1"/>
  </x:sheetData>
  <x:mergeCells>
    <x:mergeCell ref="B82:D82"/>
    <x:mergeCell ref="B83:D83"/>
    <x:mergeCell ref="A46:D46"/>
    <x:mergeCell ref="B22:C22"/>
    <x:mergeCell ref="B23:C23"/>
    <x:mergeCell ref="B24:C24"/>
    <x:mergeCell ref="B25:C25"/>
    <x:mergeCell ref="B35:C35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ColWidth="14.430000305175781" defaultRowHeight="15"/>
  <x:cols>
    <x:col min="1" max="1" width="72" customWidth="1"/>
    <x:col min="2" max="2" width="24" hidden="0" customWidth="1"/>
    <x:col min="3" max="3" width="46" hidden="0" customWidth="1"/>
    <x:col min="4" max="4" width="48" hidden="0" customWidth="1"/>
    <x:col min="5" max="8" width="15" customWidth="1"/>
    <x:col min="9" max="26" width="8.710000038146973" customWidth="1"/>
  </x:cols>
  <x:sheetData>
    <x:row r="1" ht="24" customHeight="1">
      <x:c r="A1" s="1" t="s">
        <x:v>133</x:v>
      </x:c>
      <x:c r="B1" s="2"/>
      <x:c r="C1" s="2"/>
      <x:c r="D1" s="2"/>
      <x:c r="E1" s="2"/>
      <x:c r="F1" s="2"/>
      <x:c r="G1" s="2"/>
      <x:c r="H1" s="2"/>
    </x:row>
    <x:row r="2">
      <x:c r="A2" s="3" t="s">
        <x:v>134</x:v>
      </x:c>
    </x:row>
    <x:row r="4">
      <x:c r="A4" s="7" t="s">
        <x:v>135</x:v>
      </x:c>
      <x:c r="B4" s="10"/>
      <x:c r="C4" s="10"/>
      <x:c r="D4" s="10"/>
      <x:c r="E4" s="10"/>
      <x:c r="F4" s="10"/>
      <x:c r="G4" s="10"/>
      <x:c r="H4" s="10"/>
    </x:row>
    <x:row r="5" ht="40" customHeight="1">
      <x:c r="A5" s="6" t="s">
        <x:v>136</x:v>
      </x:c>
      <x:c r="B5" s="13" t="n">
        <x:v>0</x:v>
      </x:c>
      <x:c r="D5" s="45" t="str">
        <x:v>Chưa có log API thật nối với note_id. Day20 mới là tracking spec.</x:v>
      </x:c>
    </x:row>
    <x:row r="6" ht="40" customHeight="1">
      <x:c r="A6" s="14" t="s">
        <x:v>137</x:v>
      </x:c>
      <x:c r="B6" s="13" t="n">
        <x:v>0</x:v>
      </x:c>
      <x:c r="D6" s="45" t="str">
        <x:v>41/41 chỉ là QA giao diện; không chấm đúng/sai AI.</x:v>
      </x:c>
    </x:row>
    <x:row r="7" ht="40" customHeight="1">
      <x:c r="A7" s="6" t="s">
        <x:v>138</x:v>
      </x:c>
      <x:c r="B7" s="13" t="n">
        <x:v>0</x:v>
      </x:c>
      <x:c r="D7" s="45" t="str">
        <x:v>Chưa có khách trả tiền đồng ý billing rule.</x:v>
      </x:c>
    </x:row>
    <x:row r="8" ht="40" customHeight="1">
      <x:c r="A8" s="6" t="s">
        <x:v>139</x:v>
      </x:c>
      <x:c r="B8" s="13" t="n">
        <x:v>0</x:v>
      </x:c>
      <x:c r="D8" s="45" t="str">
        <x:v>Chưa có A/B đo kết quả học hay tiết kiệm thời gian.</x:v>
      </x:c>
    </x:row>
    <x:row r="9" ht="40" customHeight="1">
      <x:c r="A9" s="6" t="s">
        <x:v>140</x:v>
      </x:c>
      <x:c r="B9" s="13" t="n">
        <x:v>1</x:v>
      </x:c>
      <x:c r="D9" s="45" t="str">
        <x:v>1 điểm: rule tự viết, chưa có buyer xác nhận.</x:v>
      </x:c>
    </x:row>
    <x:row r="10">
      <x:c r="A10" s="12" t="s">
        <x:v>141</x:v>
      </x:c>
      <x:c r="B10" s="18" t="n">
        <x:f>SUM(B5:B9)</x:f>
        <x:v>1</x:v>
      </x:c>
    </x:row>
    <x:row r="12">
      <x:c r="A12" s="7" t="s">
        <x:v>142</x:v>
      </x:c>
      <x:c r="B12" s="10"/>
      <x:c r="C12" s="10"/>
      <x:c r="D12" s="10"/>
      <x:c r="E12" s="10"/>
      <x:c r="F12" s="10"/>
      <x:c r="G12" s="10"/>
      <x:c r="H12" s="10"/>
    </x:row>
    <x:row r="13" ht="40" customHeight="1">
      <x:c r="A13" s="6" t="s">
        <x:v>143</x:v>
      </x:c>
      <x:c r="B13" s="13" t="n">
        <x:v>0</x:v>
      </x:c>
      <x:c r="D13" s="45" t="str">
        <x:v>Người học chọn evidence, duyệt mọi section và lưu.</x:v>
      </x:c>
    </x:row>
    <x:row r="14" ht="40" customHeight="1">
      <x:c r="A14" s="6" t="s">
        <x:v>144</x:v>
      </x:c>
      <x:c r="B14" s="13" t="n">
        <x:v>0</x:v>
      </x:c>
      <x:c r="D14" s="45" t="str">
        <x:v>Không tự hoàn thành khi learner vắng mặt.</x:v>
      </x:c>
    </x:row>
    <x:row r="15" ht="40" customHeight="1">
      <x:c r="A15" s="6" t="s">
        <x:v>145</x:v>
      </x:c>
      <x:c r="B15" s="13" t="n">
        <x:v>0</x:v>
      </x:c>
      <x:c r="D15" s="45" t="str">
        <x:v>Chưa triển khai routing hoặc agent.</x:v>
      </x:c>
    </x:row>
    <x:row r="16" ht="40" customHeight="1">
      <x:c r="A16" s="6" t="s">
        <x:v>146</x:v>
      </x:c>
      <x:c r="B16" s="13" t="n">
        <x:v>0</x:v>
      </x:c>
      <x:c r="D16" s="45" t="str">
        <x:v>Mọi note đều có người duyệt.</x:v>
      </x:c>
    </x:row>
    <x:row r="17" ht="40" customHeight="1">
      <x:c r="A17" s="6" t="s">
        <x:v>147</x:v>
      </x:c>
      <x:c r="B17" s="13" t="n">
        <x:v>0</x:v>
      </x:c>
      <x:c r="D17" s="45" t="str">
        <x:v>Learner xử lý từng note; provider chỉ QA mẫu.</x:v>
      </x:c>
    </x:row>
    <x:row r="18">
      <x:c r="A18" s="12" t="s">
        <x:v>148</x:v>
      </x:c>
      <x:c r="B18" s="18" t="n">
        <x:f>SUM(B13:B17)</x:f>
        <x:v>0</x:v>
      </x:c>
    </x:row>
    <x:row r="20">
      <x:c r="A20" s="7" t="s">
        <x:v>149</x:v>
      </x:c>
      <x:c r="B20" s="10"/>
      <x:c r="C20" s="10"/>
      <x:c r="D20" s="10"/>
      <x:c r="E20" s="10"/>
      <x:c r="F20" s="10"/>
      <x:c r="G20" s="10"/>
      <x:c r="H20" s="10"/>
    </x:row>
    <x:row r="21" ht="15.75" customHeight="1">
      <x:c r="A21" s="12" t="s">
        <x:v>150</x:v>
      </x:c>
      <x:c r="B21" s="26" t="str">
        <x:f>IF(AND(B10&gt;=7,B18&gt;=7),"OUTCOME",IF(AND(B10&gt;=7,B18&lt;7),"USAGE",IF(AND(B10&lt;7,B18&gt;=7),"USAGE (an toàn)","SEAT hoặc HYBRID")))</x:f>
        <x:v>SEAT hoặc HYBRID</x:v>
      </x:c>
    </x:row>
    <x:row r="22" ht="44" customHeight="1">
      <x:c r="A22" s="47" t="s">
        <x:v>151</x:v>
      </x:c>
    </x:row>
    <x:row r="23" ht="15.75" customHeight="1"/>
    <x:row r="24" ht="15.75" customHeight="1">
      <x:c r="A24" s="7" t="s">
        <x:v>152</x:v>
      </x:c>
      <x:c r="B24" s="10"/>
      <x:c r="C24" s="10"/>
      <x:c r="D24" s="10"/>
      <x:c r="E24" s="10"/>
      <x:c r="F24" s="10"/>
      <x:c r="G24" s="10"/>
      <x:c r="H24" s="10"/>
    </x:row>
    <x:row r="25" ht="15.75" customHeight="1">
      <x:c r="A25" s="27" t="s">
        <x:v>153</x:v>
      </x:c>
      <x:c r="B25" s="27" t="s">
        <x:v>154</x:v>
      </x:c>
      <x:c r="C25" s="27" t="s">
        <x:v>155</x:v>
      </x:c>
      <x:c r="D25" s="27" t="s">
        <x:v>156</x:v>
      </x:c>
    </x:row>
    <x:row r="26" ht="70" customHeight="1">
      <x:c r="A26" s="46" t="str">
        <x:v>Notion Business</x:v>
      </x:c>
      <x:c r="B26" s="46" t="str">
        <x:v>Seat + credits</x:v>
      </x:c>
      <x:c r="C26" s="46" t="str">
        <x:v>$20/member/tháng; Custom Agents $10/1.000 credits; giá trang hiển thị 12/10/2026.</x:v>
      </x:c>
      <x:c r="D26" s="46" t="str">
        <x:v>https://www.notion.com/pricing</x:v>
      </x:c>
    </x:row>
    <x:row r="27" ht="70" customHeight="1">
      <x:c r="A27" s="46" t="str">
        <x:v>Readwise Full / Reader</x:v>
      </x:c>
      <x:c r="B27" s="46" t="str">
        <x:v>Subscription</x:v>
      </x:c>
      <x:c r="C27" s="46" t="str">
        <x:v>$12,99/tháng hoặc $9,99/tháng trả năm ($119,88/năm). Không coi là giá AI outcome.</x:v>
      </x:c>
      <x:c r="D27" s="46" t="str">
        <x:v>https://readwise.io/pricing</x:v>
      </x:c>
    </x:row>
    <x:row r="28" ht="15.75" customHeight="1"/>
    <x:row r="29" ht="15.75" customHeight="1">
      <x:c r="A29" s="7" t="s">
        <x:v>157</x:v>
      </x:c>
      <x:c r="B29" s="10"/>
      <x:c r="C29" s="10"/>
      <x:c r="D29" s="10"/>
      <x:c r="E29" s="10"/>
      <x:c r="F29" s="10"/>
      <x:c r="G29" s="10"/>
      <x:c r="H29" s="10"/>
    </x:row>
    <x:row r="30" ht="28" customHeight="1">
      <x:c r="A30" s="6" t="s">
        <x:v>158</x:v>
      </x:c>
      <x:c r="B30" s="46" t="str">
        <x:v>Hybrid</x:v>
      </x:c>
    </x:row>
    <x:row r="31" ht="58" customHeight="1">
      <x:c r="A31" s="6" t="s">
        <x:v>159</x:v>
      </x:c>
      <x:c r="B31" s="46" t="str">
        <x:v>Khớp gợi ý SEAT/HYBRID. Phí tháng mua lưu nguồn, export và quota note; giới hạn usage tránh inference vô hạn.</x:v>
      </x:c>
    </x:row>
    <x:row r="32" ht="58" customHeight="1">
      <x:c r="A32" s="6" t="s">
        <x:v>160</x:v>
      </x:c>
      <x:c r="B32" s="46" t="str">
        <x:v>Chọn Hybrid: $8/tháng gồm 12 note duyệt/lưu, tối đa 22 attempts và 3 retry toàn job; gói thêm trả trước.</x:v>
      </x:c>
    </x:row>
    <x:row r="33" ht="58" customHeight="1">
      <x:c r="A33" s="6" t="s">
        <x:v>161</x:v>
      </x:c>
      <x:c r="B33" s="46" t="str">
        <x:v>Attribution 1/10, Autonomy 0/10: chỉ mới viết được rule tính note. 2/2 preference không phải eval; mọi note cần learner duyệt.</x:v>
      </x:c>
    </x:row>
    <x:row r="34" ht="58" customHeight="1">
      <x:c r="A34" s="6" t="s">
        <x:v>162</x:v>
      </x:c>
      <x:c r="B34" s="46" t="str">
        <x:v>Lỗ nếu cho thử/sửa vô hạn hoặc provider sửa note miễn phí. Cap50 calls; QA + support workflow trong COGS; HITL A.</x:v>
      </x:c>
    </x:row>
    <x:row r="35" ht="15.75" customHeight="1"/>
    <x:row r="36" ht="15.75" customHeight="1"/>
    <x:row r="37" ht="15.75" customHeight="1"/>
    <x:row r="38" ht="15.75" customHeight="1"/>
    <x:row r="39" ht="15.75" customHeight="1"/>
    <x:row r="40" ht="15.75" customHeight="1"/>
    <x:row r="41" ht="15.75" customHeight="1"/>
    <x:row r="42" ht="15.75" customHeight="1"/>
    <x:row r="43" ht="15.75" customHeight="1"/>
    <x:row r="44" ht="15.75" customHeight="1"/>
    <x:row r="45" ht="15.75" customHeight="1"/>
    <x:row r="46" ht="15.75" customHeight="1"/>
    <x:row r="47" ht="15.75" customHeight="1"/>
    <x:row r="48" ht="15.75" customHeight="1"/>
    <x:row r="49" ht="15.75" customHeight="1"/>
    <x:row r="50" ht="15.75" customHeight="1"/>
    <x:row r="51" ht="15.75" customHeight="1"/>
    <x:row r="52" ht="15.75" customHeight="1"/>
    <x:row r="53" ht="15.75" customHeight="1"/>
    <x:row r="54" ht="15.75" customHeight="1"/>
    <x:row r="55" ht="15.75" customHeight="1"/>
    <x:row r="56" ht="15.75" customHeight="1"/>
    <x:row r="57" ht="15.75" customHeight="1"/>
    <x:row r="58" ht="15.75" customHeight="1"/>
    <x:row r="59" ht="15.75" customHeight="1"/>
    <x:row r="60" ht="15.75" customHeight="1"/>
    <x:row r="61" ht="15.75" customHeight="1"/>
    <x:row r="62" ht="15.75" customHeight="1"/>
    <x:row r="63" ht="15.75" customHeight="1"/>
    <x:row r="64" ht="15.75" customHeight="1"/>
    <x:row r="65" ht="15.75" customHeight="1"/>
    <x:row r="66" ht="15.75" customHeight="1"/>
    <x:row r="67" ht="15.75" customHeight="1"/>
    <x:row r="68" ht="15.75" customHeight="1"/>
    <x:row r="69" ht="15.75" customHeight="1"/>
    <x:row r="70" ht="15.75" customHeight="1"/>
    <x:row r="71" ht="15.75" customHeight="1"/>
    <x:row r="72" ht="15.75" customHeight="1"/>
    <x:row r="73" ht="15.75" customHeight="1"/>
    <x:row r="74" ht="15.75" customHeight="1"/>
    <x:row r="75" ht="15.75" customHeight="1"/>
    <x:row r="76" ht="15.75" customHeight="1"/>
    <x:row r="77" ht="15.75" customHeight="1"/>
    <x:row r="78" ht="15.75" customHeight="1"/>
    <x:row r="79" ht="15.75" customHeight="1"/>
    <x:row r="80" ht="15.75" customHeight="1"/>
    <x:row r="81" ht="15.75" customHeight="1"/>
    <x:row r="82" ht="15.75" customHeight="1"/>
    <x:row r="83" ht="15.75" customHeight="1"/>
    <x:row r="84" ht="15.75" customHeight="1"/>
    <x:row r="85" ht="15.75" customHeight="1"/>
    <x:row r="86" ht="15.75" customHeight="1"/>
    <x:row r="87" ht="15.75" customHeight="1"/>
    <x:row r="88" ht="15.75" customHeight="1"/>
    <x:row r="89" ht="15.75" customHeight="1"/>
    <x:row r="90" ht="15.75" customHeight="1"/>
    <x:row r="91" ht="15.75" customHeight="1"/>
    <x:row r="92" ht="15.75" customHeight="1"/>
    <x:row r="93" ht="15.75" customHeight="1"/>
    <x:row r="94" ht="15.75" customHeight="1"/>
    <x:row r="95" ht="15.75" customHeight="1"/>
    <x:row r="96" ht="15.75" customHeight="1"/>
    <x:row r="97" ht="15.75" customHeight="1"/>
    <x:row r="98" ht="15.75" customHeight="1"/>
    <x:row r="99" ht="15.75" customHeight="1"/>
    <x:row r="100" ht="15.75" customHeight="1"/>
    <x:row r="101" ht="15.75" customHeight="1"/>
    <x:row r="102" ht="15.75" customHeight="1"/>
    <x:row r="103" ht="15.75" customHeight="1"/>
    <x:row r="104" ht="15.75" customHeight="1"/>
    <x:row r="105" ht="15.75" customHeight="1"/>
    <x:row r="106" ht="15.75" customHeight="1"/>
    <x:row r="107" ht="15.75" customHeight="1"/>
    <x:row r="108" ht="15.75" customHeight="1"/>
    <x:row r="109" ht="15.75" customHeight="1"/>
    <x:row r="110" ht="15.75" customHeight="1"/>
    <x:row r="111" ht="15.75" customHeight="1"/>
    <x:row r="112" ht="15.75" customHeight="1"/>
    <x:row r="113" ht="15.75" customHeight="1"/>
    <x:row r="114" ht="15.75" customHeight="1"/>
    <x:row r="115" ht="15.75" customHeight="1"/>
    <x:row r="116" ht="15.75" customHeight="1"/>
    <x:row r="117" ht="15.75" customHeight="1"/>
    <x:row r="118" ht="15.75" customHeight="1"/>
    <x:row r="119" ht="15.75" customHeight="1"/>
    <x:row r="120" ht="15.75" customHeight="1"/>
    <x:row r="121" ht="15.75" customHeight="1"/>
    <x:row r="122" ht="15.75" customHeight="1"/>
    <x:row r="123" ht="15.75" customHeight="1"/>
    <x:row r="124" ht="15.75" customHeight="1"/>
    <x:row r="125" ht="15.75" customHeight="1"/>
    <x:row r="126" ht="15.75" customHeight="1"/>
    <x:row r="127" ht="15.75" customHeight="1"/>
    <x:row r="128" ht="15.75" customHeight="1"/>
    <x:row r="129" ht="15.75" customHeight="1"/>
    <x:row r="130" ht="15.75" customHeight="1"/>
    <x:row r="131" ht="15.75" customHeight="1"/>
    <x:row r="132" ht="15.75" customHeight="1"/>
    <x:row r="133" ht="15.75" customHeight="1"/>
    <x:row r="134" ht="15.75" customHeight="1"/>
    <x:row r="135" ht="15.75" customHeight="1"/>
    <x:row r="136" ht="15.75" customHeight="1"/>
    <x:row r="137" ht="15.75" customHeight="1"/>
    <x:row r="138" ht="15.75" customHeight="1"/>
    <x:row r="139" ht="15.75" customHeight="1"/>
    <x:row r="140" ht="15.75" customHeight="1"/>
    <x:row r="141" ht="15.75" customHeight="1"/>
    <x:row r="142" ht="15.75" customHeight="1"/>
    <x:row r="143" ht="15.75" customHeight="1"/>
    <x:row r="144" ht="15.75" customHeight="1"/>
    <x:row r="145" ht="15.75" customHeight="1"/>
    <x:row r="146" ht="15.75" customHeight="1"/>
    <x:row r="147" ht="15.75" customHeight="1"/>
    <x:row r="148" ht="15.75" customHeight="1"/>
    <x:row r="149" ht="15.75" customHeight="1"/>
    <x:row r="150" ht="15.75" customHeight="1"/>
    <x:row r="151" ht="15.75" customHeight="1"/>
    <x:row r="152" ht="15.75" customHeight="1"/>
    <x:row r="153" ht="15.75" customHeight="1"/>
    <x:row r="154" ht="15.75" customHeight="1"/>
    <x:row r="155" ht="15.75" customHeight="1"/>
    <x:row r="156" ht="15.75" customHeight="1"/>
    <x:row r="157" ht="15.75" customHeight="1"/>
    <x:row r="158" ht="15.75" customHeight="1"/>
    <x:row r="159" ht="15.75" customHeight="1"/>
    <x:row r="160" ht="15.75" customHeight="1"/>
    <x:row r="161" ht="15.75" customHeight="1"/>
    <x:row r="162" ht="15.75" customHeight="1"/>
    <x:row r="163" ht="15.75" customHeight="1"/>
    <x:row r="164" ht="15.75" customHeight="1"/>
    <x:row r="165" ht="15.75" customHeight="1"/>
    <x:row r="166" ht="15.75" customHeight="1"/>
    <x:row r="167" ht="15.75" customHeight="1"/>
    <x:row r="168" ht="15.75" customHeight="1"/>
    <x:row r="169" ht="15.75" customHeight="1"/>
    <x:row r="170" ht="15.75" customHeight="1"/>
    <x:row r="171" ht="15.75" customHeight="1"/>
    <x:row r="172" ht="15.75" customHeight="1"/>
    <x:row r="173" ht="15.75" customHeight="1"/>
    <x:row r="174" ht="15.75" customHeight="1"/>
    <x:row r="175" ht="15.75" customHeight="1"/>
    <x:row r="176" ht="15.75" customHeight="1"/>
    <x:row r="177" ht="15.75" customHeight="1"/>
    <x:row r="178" ht="15.75" customHeight="1"/>
    <x:row r="179" ht="15.75" customHeight="1"/>
    <x:row r="180" ht="15.75" customHeight="1"/>
    <x:row r="181" ht="15.75" customHeight="1"/>
    <x:row r="182" ht="15.75" customHeight="1"/>
    <x:row r="183" ht="15.75" customHeight="1"/>
    <x:row r="184" ht="15.75" customHeight="1"/>
    <x:row r="185" ht="15.75" customHeight="1"/>
    <x:row r="186" ht="15.75" customHeight="1"/>
    <x:row r="187" ht="15.75" customHeight="1"/>
    <x:row r="188" ht="15.75" customHeight="1"/>
    <x:row r="189" ht="15.75" customHeight="1"/>
    <x:row r="190" ht="15.75" customHeight="1"/>
    <x:row r="191" ht="15.75" customHeight="1"/>
    <x:row r="192" ht="15.75" customHeight="1"/>
    <x:row r="193" ht="15.75" customHeight="1"/>
    <x:row r="194" ht="15.75" customHeight="1"/>
    <x:row r="195" ht="15.75" customHeight="1"/>
    <x:row r="196" ht="15.75" customHeight="1"/>
    <x:row r="197" ht="15.75" customHeight="1"/>
    <x:row r="198" ht="15.75" customHeight="1"/>
    <x:row r="199" ht="15.75" customHeight="1"/>
    <x:row r="200" ht="15.75" customHeight="1"/>
    <x:row r="201" ht="15.75" customHeight="1"/>
    <x:row r="202" ht="15.75" customHeight="1"/>
    <x:row r="203" ht="15.75" customHeight="1"/>
    <x:row r="204" ht="15.75" customHeight="1"/>
    <x:row r="205" ht="15.75" customHeight="1"/>
    <x:row r="206" ht="15.75" customHeight="1"/>
    <x:row r="207" ht="15.75" customHeight="1"/>
    <x:row r="208" ht="15.75" customHeight="1"/>
    <x:row r="209" ht="15.75" customHeight="1"/>
    <x:row r="210" ht="15.75" customHeight="1"/>
    <x:row r="211" ht="15.75" customHeight="1"/>
    <x:row r="212" ht="15.75" customHeight="1"/>
    <x:row r="213" ht="15.75" customHeight="1"/>
    <x:row r="214" ht="15.75" customHeight="1"/>
    <x:row r="215" ht="15.75" customHeight="1"/>
    <x:row r="216" ht="15.75" customHeight="1"/>
    <x:row r="217" ht="15.75" customHeight="1"/>
    <x:row r="218" ht="15.75" customHeight="1"/>
    <x:row r="219" ht="15.75" customHeight="1"/>
    <x:row r="220" ht="15.75" customHeight="1"/>
    <x:row r="221" ht="15.75" customHeight="1"/>
    <x:row r="222" ht="15.75" customHeight="1"/>
    <x:row r="223" ht="15.75" customHeight="1"/>
    <x:row r="224" ht="15.75" customHeight="1"/>
    <x:row r="225" ht="15.75" customHeight="1"/>
    <x:row r="226" ht="15.75" customHeight="1"/>
    <x:row r="227" ht="15.75" customHeight="1"/>
    <x:row r="228" ht="15.75" customHeight="1"/>
    <x:row r="229" ht="15.75" customHeight="1"/>
    <x:row r="230" ht="15.75" customHeight="1"/>
    <x:row r="231" ht="15.75" customHeight="1"/>
    <x:row r="232" ht="15.75" customHeight="1"/>
    <x:row r="233" ht="15.75" customHeight="1"/>
    <x:row r="234" ht="15.75" customHeight="1"/>
    <x:row r="235" ht="15.75" customHeight="1"/>
    <x:row r="236" ht="15.75" customHeight="1"/>
    <x:row r="237" ht="15.75" customHeight="1"/>
    <x:row r="238" ht="15.75" customHeight="1"/>
    <x:row r="239" ht="15.75" customHeight="1"/>
    <x:row r="240" ht="15.75" customHeight="1"/>
    <x:row r="241" ht="15.75" customHeight="1"/>
    <x:row r="242" ht="15.75" customHeight="1"/>
    <x:row r="243" ht="15.75" customHeight="1"/>
    <x:row r="244" ht="15.75" customHeight="1"/>
    <x:row r="245" ht="15.75" customHeight="1"/>
    <x:row r="246" ht="15.75" customHeight="1"/>
    <x:row r="247" ht="15.75" customHeight="1"/>
    <x:row r="248" ht="15.75" customHeight="1"/>
    <x:row r="249" ht="15.75" customHeight="1"/>
    <x:row r="250" ht="15.75" customHeight="1"/>
    <x:row r="251" ht="15.75" customHeight="1"/>
    <x:row r="252" ht="15.75" customHeight="1"/>
    <x:row r="253" ht="15.75" customHeight="1"/>
    <x:row r="254" ht="15.75" customHeight="1"/>
    <x:row r="255" ht="15.75" customHeight="1"/>
    <x:row r="256" ht="15.75" customHeight="1"/>
    <x:row r="257" ht="15.75" customHeight="1"/>
    <x:row r="258" ht="15.75" customHeight="1"/>
    <x:row r="259" ht="15.75" customHeight="1"/>
    <x:row r="260" ht="15.75" customHeight="1"/>
    <x:row r="261" ht="15.75" customHeight="1"/>
    <x:row r="262" ht="15.75" customHeight="1"/>
    <x:row r="263" ht="15.75" customHeight="1"/>
    <x:row r="264" ht="15.75" customHeight="1"/>
    <x:row r="265" ht="15.75" customHeight="1"/>
    <x:row r="266" ht="15.75" customHeight="1"/>
    <x:row r="267" ht="15.75" customHeight="1"/>
    <x:row r="268" ht="15.75" customHeight="1"/>
    <x:row r="269" ht="15.75" customHeight="1"/>
    <x:row r="270" ht="15.75" customHeight="1"/>
    <x:row r="271" ht="15.75" customHeight="1"/>
    <x:row r="272" ht="15.75" customHeight="1"/>
    <x:row r="273" ht="15.75" customHeight="1"/>
    <x:row r="274" ht="15.75" customHeight="1"/>
    <x:row r="275" ht="15.75" customHeight="1"/>
    <x:row r="276" ht="15.75" customHeight="1"/>
    <x:row r="277" ht="15.75" customHeight="1"/>
    <x:row r="278" ht="15.75" customHeight="1"/>
    <x:row r="279" ht="15.75" customHeight="1"/>
    <x:row r="280" ht="15.75" customHeight="1"/>
    <x:row r="281" ht="15.75" customHeight="1"/>
    <x:row r="282" ht="15.75" customHeight="1"/>
    <x:row r="283" ht="15.75" customHeight="1"/>
    <x:row r="284" ht="15.75" customHeight="1"/>
    <x:row r="285" ht="15.75" customHeight="1"/>
    <x:row r="286" ht="15.75" customHeight="1"/>
    <x:row r="287" ht="15.75" customHeight="1"/>
    <x:row r="288" ht="15.75" customHeight="1"/>
    <x:row r="289" ht="15.75" customHeight="1"/>
    <x:row r="290" ht="15.75" customHeight="1"/>
    <x:row r="291" ht="15.75" customHeight="1"/>
    <x:row r="292" ht="15.75" customHeight="1"/>
    <x:row r="293" ht="15.75" customHeight="1"/>
    <x:row r="294" ht="15.75" customHeight="1"/>
    <x:row r="295" ht="15.75" customHeight="1"/>
    <x:row r="296" ht="15.75" customHeight="1"/>
    <x:row r="297" ht="15.75" customHeight="1"/>
    <x:row r="298" ht="15.75" customHeight="1"/>
    <x:row r="299" ht="15.75" customHeight="1"/>
    <x:row r="300" ht="15.75" customHeight="1"/>
    <x:row r="301" ht="15.75" customHeight="1"/>
    <x:row r="302" ht="15.75" customHeight="1"/>
    <x:row r="303" ht="15.75" customHeight="1"/>
    <x:row r="304" ht="15.75" customHeight="1"/>
    <x:row r="305" ht="15.75" customHeight="1"/>
    <x:row r="306" ht="15.75" customHeight="1"/>
    <x:row r="307" ht="15.75" customHeight="1"/>
    <x:row r="308" ht="15.75" customHeight="1"/>
    <x:row r="309" ht="15.75" customHeight="1"/>
    <x:row r="310" ht="15.75" customHeight="1"/>
    <x:row r="311" ht="15.75" customHeight="1"/>
    <x:row r="312" ht="15.75" customHeight="1"/>
    <x:row r="313" ht="15.75" customHeight="1"/>
    <x:row r="314" ht="15.75" customHeight="1"/>
    <x:row r="315" ht="15.75" customHeight="1"/>
    <x:row r="316" ht="15.75" customHeight="1"/>
    <x:row r="317" ht="15.75" customHeight="1"/>
    <x:row r="318" ht="15.75" customHeight="1"/>
    <x:row r="319" ht="15.75" customHeight="1"/>
    <x:row r="320" ht="15.75" customHeight="1"/>
    <x:row r="321" ht="15.75" customHeight="1"/>
    <x:row r="322" ht="15.75" customHeight="1"/>
    <x:row r="323" ht="15.75" customHeight="1"/>
    <x:row r="324" ht="15.75" customHeight="1"/>
    <x:row r="325" ht="15.75" customHeight="1"/>
    <x:row r="326" ht="15.75" customHeight="1"/>
    <x:row r="327" ht="15.75" customHeight="1"/>
    <x:row r="328" ht="15.75" customHeight="1"/>
    <x:row r="329" ht="15.75" customHeight="1"/>
    <x:row r="330" ht="15.75" customHeight="1"/>
    <x:row r="331" ht="15.75" customHeight="1"/>
    <x:row r="332" ht="15.75" customHeight="1"/>
    <x:row r="333" ht="15.75" customHeight="1"/>
    <x:row r="334" ht="15.75" customHeight="1"/>
    <x:row r="335" ht="15.75" customHeight="1"/>
    <x:row r="336" ht="15.75" customHeight="1"/>
    <x:row r="337" ht="15.75" customHeight="1"/>
    <x:row r="338" ht="15.75" customHeight="1"/>
    <x:row r="339" ht="15.75" customHeight="1"/>
    <x:row r="340" ht="15.75" customHeight="1"/>
    <x:row r="341" ht="15.75" customHeight="1"/>
    <x:row r="342" ht="15.75" customHeight="1"/>
    <x:row r="343" ht="15.75" customHeight="1"/>
    <x:row r="344" ht="15.75" customHeight="1"/>
    <x:row r="345" ht="15.75" customHeight="1"/>
    <x:row r="346" ht="15.75" customHeight="1"/>
    <x:row r="347" ht="15.75" customHeight="1"/>
    <x:row r="348" ht="15.75" customHeight="1"/>
    <x:row r="349" ht="15.75" customHeight="1"/>
    <x:row r="350" ht="15.75" customHeight="1"/>
    <x:row r="351" ht="15.75" customHeight="1"/>
    <x:row r="352" ht="15.75" customHeight="1"/>
    <x:row r="353" ht="15.75" customHeight="1"/>
    <x:row r="354" ht="15.75" customHeight="1"/>
    <x:row r="355" ht="15.75" customHeight="1"/>
    <x:row r="356" ht="15.75" customHeight="1"/>
    <x:row r="357" ht="15.75" customHeight="1"/>
    <x:row r="358" ht="15.75" customHeight="1"/>
    <x:row r="359" ht="15.75" customHeight="1"/>
    <x:row r="360" ht="15.75" customHeight="1"/>
    <x:row r="361" ht="15.75" customHeight="1"/>
    <x:row r="362" ht="15.75" customHeight="1"/>
    <x:row r="363" ht="15.75" customHeight="1"/>
    <x:row r="364" ht="15.75" customHeight="1"/>
    <x:row r="365" ht="15.75" customHeight="1"/>
    <x:row r="366" ht="15.75" customHeight="1"/>
    <x:row r="367" ht="15.75" customHeight="1"/>
    <x:row r="368" ht="15.75" customHeight="1"/>
    <x:row r="369" ht="15.75" customHeight="1"/>
    <x:row r="370" ht="15.75" customHeight="1"/>
    <x:row r="371" ht="15.75" customHeight="1"/>
    <x:row r="372" ht="15.75" customHeight="1"/>
    <x:row r="373" ht="15.75" customHeight="1"/>
    <x:row r="374" ht="15.75" customHeight="1"/>
    <x:row r="375" ht="15.75" customHeight="1"/>
    <x:row r="376" ht="15.75" customHeight="1"/>
    <x:row r="377" ht="15.75" customHeight="1"/>
    <x:row r="378" ht="15.75" customHeight="1"/>
    <x:row r="379" ht="15.75" customHeight="1"/>
    <x:row r="380" ht="15.75" customHeight="1"/>
    <x:row r="381" ht="15.75" customHeight="1"/>
    <x:row r="382" ht="15.75" customHeight="1"/>
    <x:row r="383" ht="15.75" customHeight="1"/>
    <x:row r="384" ht="15.75" customHeight="1"/>
    <x:row r="385" ht="15.75" customHeight="1"/>
    <x:row r="386" ht="15.75" customHeight="1"/>
    <x:row r="387" ht="15.75" customHeight="1"/>
    <x:row r="388" ht="15.75" customHeight="1"/>
    <x:row r="389" ht="15.75" customHeight="1"/>
    <x:row r="390" ht="15.75" customHeight="1"/>
    <x:row r="391" ht="15.75" customHeight="1"/>
    <x:row r="392" ht="15.75" customHeight="1"/>
    <x:row r="393" ht="15.75" customHeight="1"/>
    <x:row r="394" ht="15.75" customHeight="1"/>
    <x:row r="395" ht="15.75" customHeight="1"/>
    <x:row r="396" ht="15.75" customHeight="1"/>
    <x:row r="397" ht="15.75" customHeight="1"/>
    <x:row r="398" ht="15.75" customHeight="1"/>
    <x:row r="399" ht="15.75" customHeight="1"/>
    <x:row r="400" ht="15.75" customHeight="1"/>
    <x:row r="401" ht="15.75" customHeight="1"/>
    <x:row r="402" ht="15.75" customHeight="1"/>
    <x:row r="403" ht="15.75" customHeight="1"/>
    <x:row r="404" ht="15.75" customHeight="1"/>
    <x:row r="405" ht="15.75" customHeight="1"/>
    <x:row r="406" ht="15.75" customHeight="1"/>
    <x:row r="407" ht="15.75" customHeight="1"/>
    <x:row r="408" ht="15.75" customHeight="1"/>
    <x:row r="409" ht="15.75" customHeight="1"/>
    <x:row r="410" ht="15.75" customHeight="1"/>
    <x:row r="411" ht="15.75" customHeight="1"/>
    <x:row r="412" ht="15.75" customHeight="1"/>
    <x:row r="413" ht="15.75" customHeight="1"/>
    <x:row r="414" ht="15.75" customHeight="1"/>
    <x:row r="415" ht="15.75" customHeight="1"/>
    <x:row r="416" ht="15.75" customHeight="1"/>
    <x:row r="417" ht="15.75" customHeight="1"/>
    <x:row r="418" ht="15.75" customHeight="1"/>
    <x:row r="419" ht="15.75" customHeight="1"/>
    <x:row r="420" ht="15.75" customHeight="1"/>
    <x:row r="421" ht="15.75" customHeight="1"/>
    <x:row r="422" ht="15.75" customHeight="1"/>
    <x:row r="423" ht="15.75" customHeight="1"/>
    <x:row r="424" ht="15.75" customHeight="1"/>
    <x:row r="425" ht="15.75" customHeight="1"/>
    <x:row r="426" ht="15.75" customHeight="1"/>
    <x:row r="427" ht="15.75" customHeight="1"/>
    <x:row r="428" ht="15.75" customHeight="1"/>
    <x:row r="429" ht="15.75" customHeight="1"/>
    <x:row r="430" ht="15.75" customHeight="1"/>
    <x:row r="431" ht="15.75" customHeight="1"/>
    <x:row r="432" ht="15.75" customHeight="1"/>
    <x:row r="433" ht="15.75" customHeight="1"/>
    <x:row r="434" ht="15.75" customHeight="1"/>
    <x:row r="435" ht="15.75" customHeight="1"/>
    <x:row r="436" ht="15.75" customHeight="1"/>
    <x:row r="437" ht="15.75" customHeight="1"/>
    <x:row r="438" ht="15.75" customHeight="1"/>
    <x:row r="439" ht="15.75" customHeight="1"/>
    <x:row r="440" ht="15.75" customHeight="1"/>
    <x:row r="441" ht="15.75" customHeight="1"/>
    <x:row r="442" ht="15.75" customHeight="1"/>
    <x:row r="443" ht="15.75" customHeight="1"/>
    <x:row r="444" ht="15.75" customHeight="1"/>
    <x:row r="445" ht="15.75" customHeight="1"/>
    <x:row r="446" ht="15.75" customHeight="1"/>
    <x:row r="447" ht="15.75" customHeight="1"/>
    <x:row r="448" ht="15.75" customHeight="1"/>
    <x:row r="449" ht="15.75" customHeight="1"/>
    <x:row r="450" ht="15.75" customHeight="1"/>
    <x:row r="451" ht="15.75" customHeight="1"/>
    <x:row r="452" ht="15.75" customHeight="1"/>
    <x:row r="453" ht="15.75" customHeight="1"/>
    <x:row r="454" ht="15.75" customHeight="1"/>
    <x:row r="455" ht="15.75" customHeight="1"/>
    <x:row r="456" ht="15.75" customHeight="1"/>
    <x:row r="457" ht="15.75" customHeight="1"/>
    <x:row r="458" ht="15.75" customHeight="1"/>
    <x:row r="459" ht="15.75" customHeight="1"/>
    <x:row r="460" ht="15.75" customHeight="1"/>
    <x:row r="461" ht="15.75" customHeight="1"/>
    <x:row r="462" ht="15.75" customHeight="1"/>
    <x:row r="463" ht="15.75" customHeight="1"/>
    <x:row r="464" ht="15.75" customHeight="1"/>
    <x:row r="465" ht="15.75" customHeight="1"/>
    <x:row r="466" ht="15.75" customHeight="1"/>
    <x:row r="467" ht="15.75" customHeight="1"/>
    <x:row r="468" ht="15.75" customHeight="1"/>
    <x:row r="469" ht="15.75" customHeight="1"/>
    <x:row r="470" ht="15.75" customHeight="1"/>
    <x:row r="471" ht="15.75" customHeight="1"/>
    <x:row r="472" ht="15.75" customHeight="1"/>
    <x:row r="473" ht="15.75" customHeight="1"/>
    <x:row r="474" ht="15.75" customHeight="1"/>
    <x:row r="475" ht="15.75" customHeight="1"/>
    <x:row r="476" ht="15.75" customHeight="1"/>
    <x:row r="477" ht="15.75" customHeight="1"/>
    <x:row r="478" ht="15.75" customHeight="1"/>
    <x:row r="479" ht="15.75" customHeight="1"/>
    <x:row r="480" ht="15.75" customHeight="1"/>
    <x:row r="481" ht="15.75" customHeight="1"/>
    <x:row r="482" ht="15.75" customHeight="1"/>
    <x:row r="483" ht="15.75" customHeight="1"/>
    <x:row r="484" ht="15.75" customHeight="1"/>
    <x:row r="485" ht="15.75" customHeight="1"/>
    <x:row r="486" ht="15.75" customHeight="1"/>
    <x:row r="487" ht="15.75" customHeight="1"/>
    <x:row r="488" ht="15.75" customHeight="1"/>
    <x:row r="489" ht="15.75" customHeight="1"/>
    <x:row r="490" ht="15.75" customHeight="1"/>
    <x:row r="491" ht="15.75" customHeight="1"/>
    <x:row r="492" ht="15.75" customHeight="1"/>
    <x:row r="493" ht="15.75" customHeight="1"/>
    <x:row r="494" ht="15.75" customHeight="1"/>
    <x:row r="495" ht="15.75" customHeight="1"/>
    <x:row r="496" ht="15.75" customHeight="1"/>
    <x:row r="497" ht="15.75" customHeight="1"/>
    <x:row r="498" ht="15.75" customHeight="1"/>
    <x:row r="499" ht="15.75" customHeight="1"/>
    <x:row r="500" ht="15.75" customHeight="1"/>
    <x:row r="501" ht="15.75" customHeight="1"/>
    <x:row r="502" ht="15.75" customHeight="1"/>
    <x:row r="503" ht="15.75" customHeight="1"/>
    <x:row r="504" ht="15.75" customHeight="1"/>
    <x:row r="505" ht="15.75" customHeight="1"/>
    <x:row r="506" ht="15.75" customHeight="1"/>
    <x:row r="507" ht="15.75" customHeight="1"/>
    <x:row r="508" ht="15.75" customHeight="1"/>
    <x:row r="509" ht="15.75" customHeight="1"/>
    <x:row r="510" ht="15.75" customHeight="1"/>
    <x:row r="511" ht="15.75" customHeight="1"/>
    <x:row r="512" ht="15.75" customHeight="1"/>
    <x:row r="513" ht="15.75" customHeight="1"/>
    <x:row r="514" ht="15.75" customHeight="1"/>
    <x:row r="515" ht="15.75" customHeight="1"/>
    <x:row r="516" ht="15.75" customHeight="1"/>
    <x:row r="517" ht="15.75" customHeight="1"/>
    <x:row r="518" ht="15.75" customHeight="1"/>
    <x:row r="519" ht="15.75" customHeight="1"/>
    <x:row r="520" ht="15.75" customHeight="1"/>
    <x:row r="521" ht="15.75" customHeight="1"/>
    <x:row r="522" ht="15.75" customHeight="1"/>
    <x:row r="523" ht="15.75" customHeight="1"/>
    <x:row r="524" ht="15.75" customHeight="1"/>
    <x:row r="525" ht="15.75" customHeight="1"/>
    <x:row r="526" ht="15.75" customHeight="1"/>
    <x:row r="527" ht="15.75" customHeight="1"/>
    <x:row r="528" ht="15.75" customHeight="1"/>
    <x:row r="529" ht="15.75" customHeight="1"/>
    <x:row r="530" ht="15.75" customHeight="1"/>
    <x:row r="531" ht="15.75" customHeight="1"/>
    <x:row r="532" ht="15.75" customHeight="1"/>
    <x:row r="533" ht="15.75" customHeight="1"/>
    <x:row r="534" ht="15.75" customHeight="1"/>
    <x:row r="535" ht="15.75" customHeight="1"/>
    <x:row r="536" ht="15.75" customHeight="1"/>
    <x:row r="537" ht="15.75" customHeight="1"/>
    <x:row r="538" ht="15.75" customHeight="1"/>
    <x:row r="539" ht="15.75" customHeight="1"/>
    <x:row r="540" ht="15.75" customHeight="1"/>
    <x:row r="541" ht="15.75" customHeight="1"/>
    <x:row r="542" ht="15.75" customHeight="1"/>
    <x:row r="543" ht="15.75" customHeight="1"/>
    <x:row r="544" ht="15.75" customHeight="1"/>
    <x:row r="545" ht="15.75" customHeight="1"/>
    <x:row r="546" ht="15.75" customHeight="1"/>
    <x:row r="547" ht="15.75" customHeight="1"/>
    <x:row r="548" ht="15.75" customHeight="1"/>
    <x:row r="549" ht="15.75" customHeight="1"/>
    <x:row r="550" ht="15.75" customHeight="1"/>
    <x:row r="551" ht="15.75" customHeight="1"/>
    <x:row r="552" ht="15.75" customHeight="1"/>
    <x:row r="553" ht="15.75" customHeight="1"/>
    <x:row r="554" ht="15.75" customHeight="1"/>
    <x:row r="555" ht="15.75" customHeight="1"/>
    <x:row r="556" ht="15.75" customHeight="1"/>
    <x:row r="557" ht="15.75" customHeight="1"/>
    <x:row r="558" ht="15.75" customHeight="1"/>
    <x:row r="559" ht="15.75" customHeight="1"/>
    <x:row r="560" ht="15.75" customHeight="1"/>
    <x:row r="561" ht="15.75" customHeight="1"/>
    <x:row r="562" ht="15.75" customHeight="1"/>
    <x:row r="563" ht="15.75" customHeight="1"/>
    <x:row r="564" ht="15.75" customHeight="1"/>
    <x:row r="565" ht="15.75" customHeight="1"/>
    <x:row r="566" ht="15.75" customHeight="1"/>
    <x:row r="567" ht="15.75" customHeight="1"/>
    <x:row r="568" ht="15.75" customHeight="1"/>
    <x:row r="569" ht="15.75" customHeight="1"/>
    <x:row r="570" ht="15.75" customHeight="1"/>
    <x:row r="571" ht="15.75" customHeight="1"/>
    <x:row r="572" ht="15.75" customHeight="1"/>
    <x:row r="573" ht="15.75" customHeight="1"/>
    <x:row r="574" ht="15.75" customHeight="1"/>
    <x:row r="575" ht="15.75" customHeight="1"/>
    <x:row r="576" ht="15.75" customHeight="1"/>
    <x:row r="577" ht="15.75" customHeight="1"/>
    <x:row r="578" ht="15.75" customHeight="1"/>
    <x:row r="579" ht="15.75" customHeight="1"/>
    <x:row r="580" ht="15.75" customHeight="1"/>
    <x:row r="581" ht="15.75" customHeight="1"/>
    <x:row r="582" ht="15.75" customHeight="1"/>
    <x:row r="583" ht="15.75" customHeight="1"/>
    <x:row r="584" ht="15.75" customHeight="1"/>
    <x:row r="585" ht="15.75" customHeight="1"/>
    <x:row r="586" ht="15.75" customHeight="1"/>
    <x:row r="587" ht="15.75" customHeight="1"/>
    <x:row r="588" ht="15.75" customHeight="1"/>
    <x:row r="589" ht="15.75" customHeight="1"/>
    <x:row r="590" ht="15.75" customHeight="1"/>
    <x:row r="591" ht="15.75" customHeight="1"/>
    <x:row r="592" ht="15.75" customHeight="1"/>
    <x:row r="593" ht="15.75" customHeight="1"/>
    <x:row r="594" ht="15.75" customHeight="1"/>
    <x:row r="595" ht="15.75" customHeight="1"/>
    <x:row r="596" ht="15.75" customHeight="1"/>
    <x:row r="597" ht="15.75" customHeight="1"/>
    <x:row r="598" ht="15.75" customHeight="1"/>
    <x:row r="599" ht="15.75" customHeight="1"/>
    <x:row r="600" ht="15.75" customHeight="1"/>
    <x:row r="601" ht="15.75" customHeight="1"/>
    <x:row r="602" ht="15.75" customHeight="1"/>
    <x:row r="603" ht="15.75" customHeight="1"/>
    <x:row r="604" ht="15.75" customHeight="1"/>
    <x:row r="605" ht="15.75" customHeight="1"/>
    <x:row r="606" ht="15.75" customHeight="1"/>
    <x:row r="607" ht="15.75" customHeight="1"/>
    <x:row r="608" ht="15.75" customHeight="1"/>
    <x:row r="609" ht="15.75" customHeight="1"/>
    <x:row r="610" ht="15.75" customHeight="1"/>
    <x:row r="611" ht="15.75" customHeight="1"/>
    <x:row r="612" ht="15.75" customHeight="1"/>
    <x:row r="613" ht="15.75" customHeight="1"/>
    <x:row r="614" ht="15.75" customHeight="1"/>
    <x:row r="615" ht="15.75" customHeight="1"/>
    <x:row r="616" ht="15.75" customHeight="1"/>
    <x:row r="617" ht="15.75" customHeight="1"/>
    <x:row r="618" ht="15.75" customHeight="1"/>
    <x:row r="619" ht="15.75" customHeight="1"/>
    <x:row r="620" ht="15.75" customHeight="1"/>
    <x:row r="621" ht="15.75" customHeight="1"/>
    <x:row r="622" ht="15.75" customHeight="1"/>
    <x:row r="623" ht="15.75" customHeight="1"/>
    <x:row r="624" ht="15.75" customHeight="1"/>
    <x:row r="625" ht="15.75" customHeight="1"/>
    <x:row r="626" ht="15.75" customHeight="1"/>
    <x:row r="627" ht="15.75" customHeight="1"/>
    <x:row r="628" ht="15.75" customHeight="1"/>
    <x:row r="629" ht="15.75" customHeight="1"/>
    <x:row r="630" ht="15.75" customHeight="1"/>
    <x:row r="631" ht="15.75" customHeight="1"/>
    <x:row r="632" ht="15.75" customHeight="1"/>
    <x:row r="633" ht="15.75" customHeight="1"/>
    <x:row r="634" ht="15.75" customHeight="1"/>
    <x:row r="635" ht="15.75" customHeight="1"/>
    <x:row r="636" ht="15.75" customHeight="1"/>
    <x:row r="637" ht="15.75" customHeight="1"/>
    <x:row r="638" ht="15.75" customHeight="1"/>
    <x:row r="639" ht="15.75" customHeight="1"/>
    <x:row r="640" ht="15.75" customHeight="1"/>
    <x:row r="641" ht="15.75" customHeight="1"/>
    <x:row r="642" ht="15.75" customHeight="1"/>
    <x:row r="643" ht="15.75" customHeight="1"/>
    <x:row r="644" ht="15.75" customHeight="1"/>
    <x:row r="645" ht="15.75" customHeight="1"/>
    <x:row r="646" ht="15.75" customHeight="1"/>
    <x:row r="647" ht="15.75" customHeight="1"/>
    <x:row r="648" ht="15.75" customHeight="1"/>
    <x:row r="649" ht="15.75" customHeight="1"/>
    <x:row r="650" ht="15.75" customHeight="1"/>
    <x:row r="651" ht="15.75" customHeight="1"/>
    <x:row r="652" ht="15.75" customHeight="1"/>
    <x:row r="653" ht="15.75" customHeight="1"/>
    <x:row r="654" ht="15.75" customHeight="1"/>
    <x:row r="655" ht="15.75" customHeight="1"/>
    <x:row r="656" ht="15.75" customHeight="1"/>
    <x:row r="657" ht="15.75" customHeight="1"/>
    <x:row r="658" ht="15.75" customHeight="1"/>
    <x:row r="659" ht="15.75" customHeight="1"/>
    <x:row r="660" ht="15.75" customHeight="1"/>
    <x:row r="661" ht="15.75" customHeight="1"/>
    <x:row r="662" ht="15.75" customHeight="1"/>
    <x:row r="663" ht="15.75" customHeight="1"/>
    <x:row r="664" ht="15.75" customHeight="1"/>
    <x:row r="665" ht="15.75" customHeight="1"/>
    <x:row r="666" ht="15.75" customHeight="1"/>
    <x:row r="667" ht="15.75" customHeight="1"/>
    <x:row r="668" ht="15.75" customHeight="1"/>
    <x:row r="669" ht="15.75" customHeight="1"/>
    <x:row r="670" ht="15.75" customHeight="1"/>
    <x:row r="671" ht="15.75" customHeight="1"/>
    <x:row r="672" ht="15.75" customHeight="1"/>
    <x:row r="673" ht="15.75" customHeight="1"/>
    <x:row r="674" ht="15.75" customHeight="1"/>
    <x:row r="675" ht="15.75" customHeight="1"/>
    <x:row r="676" ht="15.75" customHeight="1"/>
    <x:row r="677" ht="15.75" customHeight="1"/>
    <x:row r="678" ht="15.75" customHeight="1"/>
    <x:row r="679" ht="15.75" customHeight="1"/>
    <x:row r="680" ht="15.75" customHeight="1"/>
    <x:row r="681" ht="15.75" customHeight="1"/>
    <x:row r="682" ht="15.75" customHeight="1"/>
    <x:row r="683" ht="15.75" customHeight="1"/>
    <x:row r="684" ht="15.75" customHeight="1"/>
    <x:row r="685" ht="15.75" customHeight="1"/>
    <x:row r="686" ht="15.75" customHeight="1"/>
    <x:row r="687" ht="15.75" customHeight="1"/>
    <x:row r="688" ht="15.75" customHeight="1"/>
    <x:row r="689" ht="15.75" customHeight="1"/>
    <x:row r="690" ht="15.75" customHeight="1"/>
    <x:row r="691" ht="15.75" customHeight="1"/>
    <x:row r="692" ht="15.75" customHeight="1"/>
    <x:row r="693" ht="15.75" customHeight="1"/>
    <x:row r="694" ht="15.75" customHeight="1"/>
    <x:row r="695" ht="15.75" customHeight="1"/>
    <x:row r="696" ht="15.75" customHeight="1"/>
    <x:row r="697" ht="15.75" customHeight="1"/>
    <x:row r="698" ht="15.75" customHeight="1"/>
    <x:row r="699" ht="15.75" customHeight="1"/>
    <x:row r="700" ht="15.75" customHeight="1"/>
    <x:row r="701" ht="15.75" customHeight="1"/>
    <x:row r="702" ht="15.75" customHeight="1"/>
    <x:row r="703" ht="15.75" customHeight="1"/>
    <x:row r="704" ht="15.75" customHeight="1"/>
    <x:row r="705" ht="15.75" customHeight="1"/>
    <x:row r="706" ht="15.75" customHeight="1"/>
    <x:row r="707" ht="15.75" customHeight="1"/>
    <x:row r="708" ht="15.75" customHeight="1"/>
    <x:row r="709" ht="15.75" customHeight="1"/>
    <x:row r="710" ht="15.75" customHeight="1"/>
    <x:row r="711" ht="15.75" customHeight="1"/>
    <x:row r="712" ht="15.75" customHeight="1"/>
    <x:row r="713" ht="15.75" customHeight="1"/>
    <x:row r="714" ht="15.75" customHeight="1"/>
    <x:row r="715" ht="15.75" customHeight="1"/>
    <x:row r="716" ht="15.75" customHeight="1"/>
    <x:row r="717" ht="15.75" customHeight="1"/>
    <x:row r="718" ht="15.75" customHeight="1"/>
    <x:row r="719" ht="15.75" customHeight="1"/>
    <x:row r="720" ht="15.75" customHeight="1"/>
    <x:row r="721" ht="15.75" customHeight="1"/>
    <x:row r="722" ht="15.75" customHeight="1"/>
    <x:row r="723" ht="15.75" customHeight="1"/>
    <x:row r="724" ht="15.75" customHeight="1"/>
    <x:row r="725" ht="15.75" customHeight="1"/>
    <x:row r="726" ht="15.75" customHeight="1"/>
    <x:row r="727" ht="15.75" customHeight="1"/>
    <x:row r="728" ht="15.75" customHeight="1"/>
    <x:row r="729" ht="15.75" customHeight="1"/>
    <x:row r="730" ht="15.75" customHeight="1"/>
    <x:row r="731" ht="15.75" customHeight="1"/>
    <x:row r="732" ht="15.75" customHeight="1"/>
    <x:row r="733" ht="15.75" customHeight="1"/>
    <x:row r="734" ht="15.75" customHeight="1"/>
    <x:row r="735" ht="15.75" customHeight="1"/>
    <x:row r="736" ht="15.75" customHeight="1"/>
    <x:row r="737" ht="15.75" customHeight="1"/>
    <x:row r="738" ht="15.75" customHeight="1"/>
    <x:row r="739" ht="15.75" customHeight="1"/>
    <x:row r="740" ht="15.75" customHeight="1"/>
    <x:row r="741" ht="15.75" customHeight="1"/>
    <x:row r="742" ht="15.75" customHeight="1"/>
    <x:row r="743" ht="15.75" customHeight="1"/>
    <x:row r="744" ht="15.75" customHeight="1"/>
    <x:row r="745" ht="15.75" customHeight="1"/>
    <x:row r="746" ht="15.75" customHeight="1"/>
    <x:row r="747" ht="15.75" customHeight="1"/>
    <x:row r="748" ht="15.75" customHeight="1"/>
    <x:row r="749" ht="15.75" customHeight="1"/>
    <x:row r="750" ht="15.75" customHeight="1"/>
    <x:row r="751" ht="15.75" customHeight="1"/>
    <x:row r="752" ht="15.75" customHeight="1"/>
    <x:row r="753" ht="15.75" customHeight="1"/>
    <x:row r="754" ht="15.75" customHeight="1"/>
    <x:row r="755" ht="15.75" customHeight="1"/>
    <x:row r="756" ht="15.75" customHeight="1"/>
    <x:row r="757" ht="15.75" customHeight="1"/>
    <x:row r="758" ht="15.75" customHeight="1"/>
    <x:row r="759" ht="15.75" customHeight="1"/>
    <x:row r="760" ht="15.75" customHeight="1"/>
    <x:row r="761" ht="15.75" customHeight="1"/>
    <x:row r="762" ht="15.75" customHeight="1"/>
    <x:row r="763" ht="15.75" customHeight="1"/>
    <x:row r="764" ht="15.75" customHeight="1"/>
    <x:row r="765" ht="15.75" customHeight="1"/>
    <x:row r="766" ht="15.75" customHeight="1"/>
    <x:row r="767" ht="15.75" customHeight="1"/>
    <x:row r="768" ht="15.75" customHeight="1"/>
    <x:row r="769" ht="15.75" customHeight="1"/>
    <x:row r="770" ht="15.75" customHeight="1"/>
    <x:row r="771" ht="15.75" customHeight="1"/>
    <x:row r="772" ht="15.75" customHeight="1"/>
    <x:row r="773" ht="15.75" customHeight="1"/>
    <x:row r="774" ht="15.75" customHeight="1"/>
    <x:row r="775" ht="15.75" customHeight="1"/>
    <x:row r="776" ht="15.75" customHeight="1"/>
    <x:row r="777" ht="15.75" customHeight="1"/>
    <x:row r="778" ht="15.75" customHeight="1"/>
    <x:row r="779" ht="15.75" customHeight="1"/>
    <x:row r="780" ht="15.75" customHeight="1"/>
    <x:row r="781" ht="15.75" customHeight="1"/>
    <x:row r="782" ht="15.75" customHeight="1"/>
    <x:row r="783" ht="15.75" customHeight="1"/>
    <x:row r="784" ht="15.75" customHeight="1"/>
    <x:row r="785" ht="15.75" customHeight="1"/>
    <x:row r="786" ht="15.75" customHeight="1"/>
    <x:row r="787" ht="15.75" customHeight="1"/>
    <x:row r="788" ht="15.75" customHeight="1"/>
    <x:row r="789" ht="15.75" customHeight="1"/>
    <x:row r="790" ht="15.75" customHeight="1"/>
    <x:row r="791" ht="15.75" customHeight="1"/>
    <x:row r="792" ht="15.75" customHeight="1"/>
    <x:row r="793" ht="15.75" customHeight="1"/>
    <x:row r="794" ht="15.75" customHeight="1"/>
    <x:row r="795" ht="15.75" customHeight="1"/>
    <x:row r="796" ht="15.75" customHeight="1"/>
    <x:row r="797" ht="15.75" customHeight="1"/>
    <x:row r="798" ht="15.75" customHeight="1"/>
    <x:row r="799" ht="15.75" customHeight="1"/>
    <x:row r="800" ht="15.75" customHeight="1"/>
    <x:row r="801" ht="15.75" customHeight="1"/>
    <x:row r="802" ht="15.75" customHeight="1"/>
    <x:row r="803" ht="15.75" customHeight="1"/>
    <x:row r="804" ht="15.75" customHeight="1"/>
    <x:row r="805" ht="15.75" customHeight="1"/>
    <x:row r="806" ht="15.75" customHeight="1"/>
    <x:row r="807" ht="15.75" customHeight="1"/>
    <x:row r="808" ht="15.75" customHeight="1"/>
    <x:row r="809" ht="15.75" customHeight="1"/>
    <x:row r="810" ht="15.75" customHeight="1"/>
    <x:row r="811" ht="15.75" customHeight="1"/>
    <x:row r="812" ht="15.75" customHeight="1"/>
    <x:row r="813" ht="15.75" customHeight="1"/>
    <x:row r="814" ht="15.75" customHeight="1"/>
    <x:row r="815" ht="15.75" customHeight="1"/>
    <x:row r="816" ht="15.75" customHeight="1"/>
    <x:row r="817" ht="15.75" customHeight="1"/>
    <x:row r="818" ht="15.75" customHeight="1"/>
    <x:row r="819" ht="15.75" customHeight="1"/>
    <x:row r="820" ht="15.75" customHeight="1"/>
    <x:row r="821" ht="15.75" customHeight="1"/>
    <x:row r="822" ht="15.75" customHeight="1"/>
    <x:row r="823" ht="15.75" customHeight="1"/>
    <x:row r="824" ht="15.75" customHeight="1"/>
    <x:row r="825" ht="15.75" customHeight="1"/>
    <x:row r="826" ht="15.75" customHeight="1"/>
    <x:row r="827" ht="15.75" customHeight="1"/>
    <x:row r="828" ht="15.75" customHeight="1"/>
    <x:row r="829" ht="15.75" customHeight="1"/>
    <x:row r="830" ht="15.75" customHeight="1"/>
    <x:row r="831" ht="15.75" customHeight="1"/>
    <x:row r="832" ht="15.75" customHeight="1"/>
    <x:row r="833" ht="15.75" customHeight="1"/>
    <x:row r="834" ht="15.75" customHeight="1"/>
    <x:row r="835" ht="15.75" customHeight="1"/>
    <x:row r="836" ht="15.75" customHeight="1"/>
    <x:row r="837" ht="15.75" customHeight="1"/>
    <x:row r="838" ht="15.75" customHeight="1"/>
    <x:row r="839" ht="15.75" customHeight="1"/>
    <x:row r="840" ht="15.75" customHeight="1"/>
    <x:row r="841" ht="15.75" customHeight="1"/>
    <x:row r="842" ht="15.75" customHeight="1"/>
    <x:row r="843" ht="15.75" customHeight="1"/>
    <x:row r="844" ht="15.75" customHeight="1"/>
    <x:row r="845" ht="15.75" customHeight="1"/>
    <x:row r="846" ht="15.75" customHeight="1"/>
    <x:row r="847" ht="15.75" customHeight="1"/>
    <x:row r="848" ht="15.75" customHeight="1"/>
    <x:row r="849" ht="15.75" customHeight="1"/>
    <x:row r="850" ht="15.75" customHeight="1"/>
    <x:row r="851" ht="15.75" customHeight="1"/>
    <x:row r="852" ht="15.75" customHeight="1"/>
    <x:row r="853" ht="15.75" customHeight="1"/>
    <x:row r="854" ht="15.75" customHeight="1"/>
    <x:row r="855" ht="15.75" customHeight="1"/>
    <x:row r="856" ht="15.75" customHeight="1"/>
    <x:row r="857" ht="15.75" customHeight="1"/>
    <x:row r="858" ht="15.75" customHeight="1"/>
    <x:row r="859" ht="15.75" customHeight="1"/>
    <x:row r="860" ht="15.75" customHeight="1"/>
    <x:row r="861" ht="15.75" customHeight="1"/>
    <x:row r="862" ht="15.75" customHeight="1"/>
    <x:row r="863" ht="15.75" customHeight="1"/>
    <x:row r="864" ht="15.75" customHeight="1"/>
    <x:row r="865" ht="15.75" customHeight="1"/>
    <x:row r="866" ht="15.75" customHeight="1"/>
    <x:row r="867" ht="15.75" customHeight="1"/>
    <x:row r="868" ht="15.75" customHeight="1"/>
    <x:row r="869" ht="15.75" customHeight="1"/>
    <x:row r="870" ht="15.75" customHeight="1"/>
    <x:row r="871" ht="15.75" customHeight="1"/>
    <x:row r="872" ht="15.75" customHeight="1"/>
    <x:row r="873" ht="15.75" customHeight="1"/>
    <x:row r="874" ht="15.75" customHeight="1"/>
    <x:row r="875" ht="15.75" customHeight="1"/>
    <x:row r="876" ht="15.75" customHeight="1"/>
    <x:row r="877" ht="15.75" customHeight="1"/>
    <x:row r="878" ht="15.75" customHeight="1"/>
    <x:row r="879" ht="15.75" customHeight="1"/>
    <x:row r="880" ht="15.75" customHeight="1"/>
    <x:row r="881" ht="15.75" customHeight="1"/>
    <x:row r="882" ht="15.75" customHeight="1"/>
    <x:row r="883" ht="15.75" customHeight="1"/>
    <x:row r="884" ht="15.75" customHeight="1"/>
    <x:row r="885" ht="15.75" customHeight="1"/>
    <x:row r="886" ht="15.75" customHeight="1"/>
    <x:row r="887" ht="15.75" customHeight="1"/>
    <x:row r="888" ht="15.75" customHeight="1"/>
    <x:row r="889" ht="15.75" customHeight="1"/>
    <x:row r="890" ht="15.75" customHeight="1"/>
    <x:row r="891" ht="15.75" customHeight="1"/>
    <x:row r="892" ht="15.75" customHeight="1"/>
    <x:row r="893" ht="15.75" customHeight="1"/>
    <x:row r="894" ht="15.75" customHeight="1"/>
    <x:row r="895" ht="15.75" customHeight="1"/>
    <x:row r="896" ht="15.75" customHeight="1"/>
    <x:row r="897" ht="15.75" customHeight="1"/>
    <x:row r="898" ht="15.75" customHeight="1"/>
    <x:row r="899" ht="15.75" customHeight="1"/>
    <x:row r="900" ht="15.75" customHeight="1"/>
    <x:row r="901" ht="15.75" customHeight="1"/>
    <x:row r="902" ht="15.75" customHeight="1"/>
    <x:row r="903" ht="15.75" customHeight="1"/>
    <x:row r="904" ht="15.75" customHeight="1"/>
    <x:row r="905" ht="15.75" customHeight="1"/>
    <x:row r="906" ht="15.75" customHeight="1"/>
    <x:row r="907" ht="15.75" customHeight="1"/>
    <x:row r="908" ht="15.75" customHeight="1"/>
    <x:row r="909" ht="15.75" customHeight="1"/>
    <x:row r="910" ht="15.75" customHeight="1"/>
    <x:row r="911" ht="15.75" customHeight="1"/>
    <x:row r="912" ht="15.75" customHeight="1"/>
    <x:row r="913" ht="15.75" customHeight="1"/>
    <x:row r="914" ht="15.75" customHeight="1"/>
    <x:row r="915" ht="15.75" customHeight="1"/>
    <x:row r="916" ht="15.75" customHeight="1"/>
    <x:row r="917" ht="15.75" customHeight="1"/>
    <x:row r="918" ht="15.75" customHeight="1"/>
    <x:row r="919" ht="15.75" customHeight="1"/>
    <x:row r="920" ht="15.75" customHeight="1"/>
    <x:row r="921" ht="15.75" customHeight="1"/>
    <x:row r="922" ht="15.75" customHeight="1"/>
    <x:row r="923" ht="15.75" customHeight="1"/>
    <x:row r="924" ht="15.75" customHeight="1"/>
    <x:row r="925" ht="15.75" customHeight="1"/>
    <x:row r="926" ht="15.75" customHeight="1"/>
    <x:row r="927" ht="15.75" customHeight="1"/>
    <x:row r="928" ht="15.75" customHeight="1"/>
    <x:row r="929" ht="15.75" customHeight="1"/>
    <x:row r="930" ht="15.75" customHeight="1"/>
    <x:row r="931" ht="15.75" customHeight="1"/>
    <x:row r="932" ht="15.75" customHeight="1"/>
    <x:row r="933" ht="15.75" customHeight="1"/>
    <x:row r="934" ht="15.75" customHeight="1"/>
    <x:row r="935" ht="15.75" customHeight="1"/>
    <x:row r="936" ht="15.75" customHeight="1"/>
    <x:row r="937" ht="15.75" customHeight="1"/>
    <x:row r="938" ht="15.75" customHeight="1"/>
    <x:row r="939" ht="15.75" customHeight="1"/>
    <x:row r="940" ht="15.75" customHeight="1"/>
    <x:row r="941" ht="15.75" customHeight="1"/>
    <x:row r="942" ht="15.75" customHeight="1"/>
    <x:row r="943" ht="15.75" customHeight="1"/>
    <x:row r="944" ht="15.75" customHeight="1"/>
    <x:row r="945" ht="15.75" customHeight="1"/>
    <x:row r="946" ht="15.75" customHeight="1"/>
    <x:row r="947" ht="15.75" customHeight="1"/>
    <x:row r="948" ht="15.75" customHeight="1"/>
    <x:row r="949" ht="15.75" customHeight="1"/>
    <x:row r="950" ht="15.75" customHeight="1"/>
    <x:row r="951" ht="15.75" customHeight="1"/>
    <x:row r="952" ht="15.75" customHeight="1"/>
    <x:row r="953" ht="15.75" customHeight="1"/>
    <x:row r="954" ht="15.75" customHeight="1"/>
    <x:row r="955" ht="15.75" customHeight="1"/>
    <x:row r="956" ht="15.75" customHeight="1"/>
    <x:row r="957" ht="15.75" customHeight="1"/>
    <x:row r="958" ht="15.75" customHeight="1"/>
    <x:row r="959" ht="15.75" customHeight="1"/>
    <x:row r="960" ht="15.75" customHeight="1"/>
    <x:row r="961" ht="15.75" customHeight="1"/>
    <x:row r="962" ht="15.75" customHeight="1"/>
    <x:row r="963" ht="15.75" customHeight="1"/>
    <x:row r="964" ht="15.75" customHeight="1"/>
    <x:row r="965" ht="15.75" customHeight="1"/>
    <x:row r="966" ht="15.75" customHeight="1"/>
    <x:row r="967" ht="15.75" customHeight="1"/>
    <x:row r="968" ht="15.75" customHeight="1"/>
    <x:row r="969" ht="15.75" customHeight="1"/>
    <x:row r="970" ht="15.75" customHeight="1"/>
    <x:row r="971" ht="15.75" customHeight="1"/>
    <x:row r="972" ht="15.75" customHeight="1"/>
    <x:row r="973" ht="15.75" customHeight="1"/>
    <x:row r="974" ht="15.75" customHeight="1"/>
    <x:row r="975" ht="15.75" customHeight="1"/>
    <x:row r="976" ht="15.75" customHeight="1"/>
    <x:row r="977" ht="15.75" customHeight="1"/>
    <x:row r="978" ht="15.75" customHeight="1"/>
    <x:row r="979" ht="15.75" customHeight="1"/>
    <x:row r="980" ht="15.75" customHeight="1"/>
    <x:row r="981" ht="15.75" customHeight="1"/>
    <x:row r="982" ht="15.75" customHeight="1"/>
    <x:row r="983" ht="15.75" customHeight="1"/>
    <x:row r="984" ht="15.75" customHeight="1"/>
    <x:row r="985" ht="15.75" customHeight="1"/>
    <x:row r="986" ht="15.75" customHeight="1"/>
    <x:row r="987" ht="15.75" customHeight="1"/>
    <x:row r="988" ht="15.75" customHeight="1"/>
    <x:row r="989" ht="15.75" customHeight="1"/>
    <x:row r="990" ht="15.75" customHeight="1"/>
    <x:row r="991" ht="15.75" customHeight="1"/>
    <x:row r="992" ht="15.75" customHeight="1"/>
    <x:row r="993" ht="15.75" customHeight="1"/>
    <x:row r="994" ht="15.75" customHeight="1"/>
    <x:row r="995" ht="15.75" customHeight="1"/>
    <x:row r="996" ht="15.75" customHeight="1"/>
    <x:row r="997" ht="15.75" customHeight="1"/>
    <x:row r="998" ht="15.75" customHeight="1"/>
    <x:row r="999" ht="15.75" customHeight="1"/>
    <x:row r="1000" ht="15.75" customHeight="1"/>
  </x:sheetData>
  <x:mergeCells>
    <x:mergeCell ref="B30:D30"/>
    <x:mergeCell ref="B31:D31"/>
    <x:mergeCell ref="B32:D32"/>
    <x:mergeCell ref="B33:D33"/>
    <x:mergeCell ref="B34:D34"/>
    <x:mergeCell ref="A22:D22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ColWidth="14.430000305175781" defaultRowHeight="15"/>
  <x:cols>
    <x:col min="1" max="1" width="46" customWidth="1"/>
    <x:col min="2" max="3" width="16" customWidth="1"/>
    <x:col min="4" max="4" width="54" customWidth="1"/>
    <x:col min="5" max="8" width="15" customWidth="1"/>
    <x:col min="9" max="26" width="8.710000038146973" customWidth="1"/>
    <x:col min="5" max="5" width="54" hidden="0" customWidth="1"/>
  </x:cols>
  <x:sheetData>
    <x:row r="1" ht="24" customHeight="1">
      <x:c r="A1" s="1" t="s">
        <x:v>163</x:v>
      </x:c>
      <x:c r="B1" s="2"/>
      <x:c r="C1" s="2"/>
      <x:c r="D1" s="2"/>
      <x:c r="E1" s="2"/>
      <x:c r="F1" s="2"/>
      <x:c r="G1" s="2"/>
      <x:c r="H1" s="2"/>
    </x:row>
    <x:row r="2">
      <x:c r="A2" s="3" t="s">
        <x:v>164</x:v>
      </x:c>
    </x:row>
    <x:row r="4">
      <x:c r="A4" s="7" t="s">
        <x:v>165</x:v>
      </x:c>
      <x:c r="B4" s="10"/>
      <x:c r="C4" s="10"/>
      <x:c r="D4" s="10"/>
      <x:c r="E4" s="10"/>
      <x:c r="F4" s="10"/>
      <x:c r="G4" s="10"/>
      <x:c r="H4" s="10"/>
    </x:row>
    <x:row r="5">
      <x:c r="A5" s="6" t="s">
        <x:v>166</x:v>
      </x:c>
      <x:c r="B5" s="25" t="n">
        <x:f>'2_Pricing'!B56</x:f>
        <x:v>8</x:v>
      </x:c>
    </x:row>
    <x:row r="6">
      <x:c r="A6" s="6" t="s">
        <x:v>167</x:v>
      </x:c>
      <x:c r="B6" s="34" t="n">
        <x:f>'2_Pricing'!B21</x:f>
        <x:v>0.7019714285714286</x:v>
      </x:c>
    </x:row>
    <x:row r="7" ht="56" customHeight="1">
      <x:c r="A7" s="6" t="s">
        <x:v>168</x:v>
      </x:c>
      <x:c r="B7" s="13" t="str">
        <x:v>Prosumer</x:v>
      </x:c>
      <x:c r="D7" s="45" t="str">
        <x:v>Người tự học đi làm; không phải SMB. Mục tiêu payback 3 tháng là giả định của mô hình.</x:v>
      </x:c>
    </x:row>
    <x:row r="8" ht="56" customHeight="1">
      <x:c r="A8" s="6" t="s">
        <x:v>169</x:v>
      </x:c>
      <x:c r="B8" s="19" t="n">
        <x:f>IF(B7="Prosumer",3,IF(B7="SMB",12,IF(B7="Mid",18,24)))</x:f>
        <x:v>3</x:v>
      </x:c>
      <x:c r="C8" s="3" t="s">
        <x:v>170</x:v>
      </x:c>
      <x:c r="D8" s="47" t="str">
        <x:v>Prosumer: giả định 3 tháng; giữ SMB12/Mid18/Enterprise24 theo mẫu.</x:v>
      </x:c>
    </x:row>
    <x:row r="9">
      <x:c r="A9" s="12" t="s">
        <x:v>171</x:v>
      </x:c>
      <x:c r="B9" s="80" t="n">
        <x:f>B5*B6*B8</x:f>
        <x:v>16.847314285714287</x:v>
      </x:c>
      <x:c r="D9" s="3" t="s">
        <x:v>172</x:v>
      </x:c>
    </x:row>
    <x:row r="10">
      <x:c r="A10" s="6" t="s">
        <x:v>173</x:v>
      </x:c>
      <x:c r="B10" s="37" t="n">
        <x:f>B5*12</x:f>
        <x:v>96</x:v>
      </x:c>
    </x:row>
    <x:row r="12">
      <x:c r="A12" s="7" t="s">
        <x:v>174</x:v>
      </x:c>
      <x:c r="B12" s="10"/>
      <x:c r="C12" s="10"/>
      <x:c r="D12" s="10"/>
      <x:c r="E12" s="10"/>
      <x:c r="F12" s="10"/>
      <x:c r="G12" s="10"/>
      <x:c r="H12" s="10"/>
    </x:row>
    <x:row r="13" ht="56" customHeight="1">
      <x:c r="A13" s="6" t="s">
        <x:v>175</x:v>
      </x:c>
      <x:c r="B13" s="25" t="n">
        <x:v>120000</x:v>
      </x:c>
      <x:c r="D13" s="47" t="str">
        <x:v>Giả định phản chứng: AE local fully-loaded $24k/năm, quota 5× = $120k. Không phải khảo sát lương.</x:v>
      </x:c>
    </x:row>
    <x:row r="14">
      <x:c r="A14" s="6" t="s">
        <x:v>176</x:v>
      </x:c>
      <x:c r="B14" s="15" t="n">
        <x:v>240</x:v>
      </x:c>
      <x:c r="C14" s="3" t="s">
        <x:v>177</x:v>
      </x:c>
    </x:row>
    <x:row r="15">
      <x:c r="A15" s="6" t="s">
        <x:v>178</x:v>
      </x:c>
      <x:c r="B15" s="19" t="n">
        <x:f>IF(B10=0,0,B13/B10)</x:f>
        <x:v>1250</x:v>
      </x:c>
    </x:row>
    <x:row r="16">
      <x:c r="A16" s="12" t="s">
        <x:v>179</x:v>
      </x:c>
      <x:c r="B16" s="38" t="n">
        <x:f>IF(B14=0,0,B15/B14)</x:f>
        <x:v>5.208333333333333</x:v>
      </x:c>
      <x:c r="C16" s="3" t="s">
        <x:v>180</x:v>
      </x:c>
    </x:row>
    <x:row r="17" ht="48" customHeight="1">
      <x:c r="A17" s="6" t="s">
        <x:v>181</x:v>
      </x:c>
      <x:c r="B17" s="77" t="str">
        <x:f>IF(B16&lt;=1,"KHẢ THI về mặt số học","BẤT KHẢ THI — ACV quá thấp để nuôi sales rep")</x:f>
        <x:v>BẤT KHẢ THI — ACV quá thấp để nuôi sales rep</x:v>
      </x:c>
    </x:row>
    <x:row r="19">
      <x:c r="A19" s="7" t="s">
        <x:v>182</x:v>
      </x:c>
      <x:c r="B19" s="10"/>
      <x:c r="C19" s="10"/>
      <x:c r="D19" s="10"/>
      <x:c r="E19" s="10"/>
      <x:c r="F19" s="10"/>
      <x:c r="G19" s="10"/>
      <x:c r="H19" s="10"/>
    </x:row>
    <x:row r="20" ht="56" customHeight="1">
      <x:c r="A20" s="6" t="s">
        <x:v>183</x:v>
      </x:c>
      <x:c r="B20" s="25" t="n">
        <x:v>300</x:v>
      </x:c>
      <x:c r="D20" s="47" t="str">
        <x:v>ƯỚC TÍNH bottom-up: 5h làm opportunity × $8 + $260 outreach/meeting = $300. Không phải benchmark thị trường.</x:v>
      </x:c>
    </x:row>
    <x:row r="21" ht="56" customHeight="1">
      <x:c r="A21" s="6" t="s">
        <x:v>184</x:v>
      </x:c>
      <x:c r="B21" s="16" t="n">
        <x:v>0.2</x:v>
      </x:c>
      <x:c r="D21" s="45" t="str">
        <x:v>Giả định win 20%; kiểm tra độ nhạy, chưa có pipeline bán hàng.</x:v>
      </x:c>
    </x:row>
    <x:row r="22" ht="15.75" customHeight="1">
      <x:c r="A22" s="6" t="s">
        <x:v>185</x:v>
      </x:c>
      <x:c r="B22" s="37" t="n">
        <x:f>IF(B21=0,0,B20/B21)</x:f>
        <x:v>1500</x:v>
      </x:c>
    </x:row>
    <x:row r="23" ht="15.75" customHeight="1">
      <x:c r="A23" s="12" t="s">
        <x:v>186</x:v>
      </x:c>
      <x:c r="B23" s="39" t="n">
        <x:f>IF(B9=0,0,B22/B9)</x:f>
        <x:v>89.034962757947</x:v>
      </x:c>
      <x:c r="D23" s="3" t="s">
        <x:v>187</x:v>
      </x:c>
    </x:row>
    <x:row r="24" ht="48" customHeight="1">
      <x:c r="A24" s="6" t="s">
        <x:v>126</x:v>
      </x:c>
      <x:c r="B24" s="77" t="str">
        <x:f>IF(B23&lt;=1,"Motion có sales KHẢ THI",IF(B23&lt;=3,"Căng — cần tăng giá hoặc giảm chi phí bán hàng","KHÔNG KHẢ THI — đi PLG hoặc Partner-Led"))</x:f>
        <x:v>KHÔNG KHẢ THI — đi PLG hoặc Partner-Led</x:v>
      </x:c>
    </x:row>
    <x:row r="25" ht="15.75" customHeight="1"/>
    <x:row r="26" ht="15.75" customHeight="1">
      <x:c r="A26" s="7" t="s">
        <x:v>188</x:v>
      </x:c>
      <x:c r="B26" s="10"/>
      <x:c r="C26" s="10"/>
      <x:c r="D26" s="10"/>
      <x:c r="E26" s="10"/>
      <x:c r="F26" s="10"/>
      <x:c r="G26" s="10"/>
      <x:c r="H26" s="10"/>
    </x:row>
    <x:row r="27" ht="15.75" customHeight="1">
      <x:c r="A27" s="27" t="s">
        <x:v>189</x:v>
      </x:c>
      <x:c r="B27" s="27" t="s">
        <x:v>190</x:v>
      </x:c>
      <x:c r="C27" s="27" t="s">
        <x:v>191</x:v>
      </x:c>
      <x:c r="D27" s="27" t="s">
        <x:v>192</x:v>
      </x:c>
    </x:row>
    <x:row r="28" ht="56" customHeight="1">
      <x:c r="A28" s="6" t="s">
        <x:v>193</x:v>
      </x:c>
      <x:c r="B28" s="13" t="n">
        <x:v>4</x:v>
      </x:c>
      <x:c r="C28" s="13" t="n">
        <x:v>1</x:v>
      </x:c>
      <x:c r="D28" s="51" t="n">
        <x:v>2</x:v>
      </x:c>
      <x:c r="E28" s="45" t="str">
        <x:v>PLG có thể thử nhỏ; sales vượt ngân sách; partner chưa có quan hệ.</x:v>
      </x:c>
    </x:row>
    <x:row r="29" ht="56" customHeight="1">
      <x:c r="A29" s="6" t="s">
        <x:v>194</x:v>
      </x:c>
      <x:c r="B29" s="13" t="n">
        <x:v>3</x:v>
      </x:c>
      <x:c r="C29" s="13" t="n">
        <x:v>1</x:v>
      </x:c>
      <x:c r="D29" s="51" t="n">
        <x:v>2</x:v>
      </x:c>
      <x:c r="E29" s="45" t="str">
        <x:v>Mua tự phục vụ là giả thuyết cần test WTP, chưa quan sát hành vi mua.</x:v>
      </x:c>
    </x:row>
    <x:row r="30" ht="56" customHeight="1">
      <x:c r="A30" s="6" t="s">
        <x:v>195</x:v>
      </x:c>
      <x:c r="B30" s="13" t="n">
        <x:v>4</x:v>
      </x:c>
      <x:c r="C30" s="13" t="n">
        <x:v>1</x:v>
      </x:c>
      <x:c r="D30" s="51" t="n">
        <x:v>1</x:v>
      </x:c>
      <x:c r="E30" s="45" t="str">
        <x:v>Founder có prototype; chưa có AE hoặc hợp đồng partner.</x:v>
      </x:c>
    </x:row>
    <x:row r="31" ht="56" customHeight="1">
      <x:c r="A31" s="6" t="s">
        <x:v>196</x:v>
      </x:c>
      <x:c r="B31" s="13" t="n">
        <x:v>3</x:v>
      </x:c>
      <x:c r="C31" s="13" t="n">
        <x:v>1</x:v>
      </x:c>
      <x:c r="D31" s="51" t="n">
        <x:v>1</x:v>
      </x:c>
      <x:c r="E31" s="45" t="str">
        <x:v>Side panel là hạng mục đề xuất, phải có bản chạy trước pilot.</x:v>
      </x:c>
    </x:row>
    <x:row r="32" ht="56" customHeight="1">
      <x:c r="A32" s="6" t="s">
        <x:v>197</x:v>
      </x:c>
      <x:c r="B32" s="13" t="n">
        <x:v>4</x:v>
      </x:c>
      <x:c r="C32" s="13" t="n">
        <x:v>2</x:v>
      </x:c>
      <x:c r="D32" s="51" t="n">
        <x:v>2</x:v>
      </x:c>
      <x:c r="E32" s="45" t="str">
        <x:v>Ghi note ngay trong phiên đọc Chrome; giả thuyết pain cần xác minh.</x:v>
      </x:c>
    </x:row>
    <x:row r="33" ht="56" customHeight="1">
      <x:c r="A33" s="6" t="s">
        <x:v>198</x:v>
      </x:c>
      <x:c r="B33" s="13" t="n">
        <x:v>4</x:v>
      </x:c>
      <x:c r="C33" s="13" t="n">
        <x:v>2</x:v>
      </x:c>
      <x:c r="D33" s="51" t="n">
        <x:v>2</x:v>
      </x:c>
      <x:c r="E33" s="45" t="str">
        <x:v>Đo activation/save/paid/retention. Chấm điểm này là nhận định, không phải field evidence.</x:v>
      </x:c>
    </x:row>
    <x:row r="34" ht="15.75" customHeight="1">
      <x:c r="A34" s="12" t="s">
        <x:v>199</x:v>
      </x:c>
      <x:c r="B34" s="26" t="n">
        <x:f t="shared" ref="B34:D34" si="1">B28+B29+B30+B31+B32+B33</x:f>
        <x:v>22</x:v>
      </x:c>
      <x:c r="C34" s="26" t="n">
        <x:f t="shared" si="1">C28+C29+C30+C31+C32+C33</x:f>
        <x:v>8</x:v>
      </x:c>
      <x:c r="D34" s="26" t="n">
        <x:f t="shared" si="1">D28+D29+D30+D31+D32+D33</x:f>
        <x:v>10</x:v>
      </x:c>
    </x:row>
    <x:row r="35" ht="15.75" customHeight="1">
      <x:c r="A35" s="12" t="s">
        <x:v>200</x:v>
      </x:c>
      <x:c r="B35" s="26" t="str">
        <x:f>IF(AND(B34&gt;=C34,B34&gt;=D34),"PLG",IF(C34&gt;=D34,"Sales-Led","Partner-Led"))</x:f>
        <x:v>PLG</x:v>
      </x:c>
    </x:row>
    <x:row r="36" ht="15.75" customHeight="1"/>
    <x:row r="37" ht="15.75" customHeight="1">
      <x:c r="A37" s="7" t="s">
        <x:v>201</x:v>
      </x:c>
      <x:c r="B37" s="10"/>
      <x:c r="C37" s="10"/>
      <x:c r="D37" s="10"/>
      <x:c r="E37" s="10"/>
      <x:c r="F37" s="10"/>
      <x:c r="G37" s="10"/>
      <x:c r="H37" s="10"/>
    </x:row>
    <x:row r="38" ht="15.75" customHeight="1">
      <x:c r="A38" s="6" t="s">
        <x:v>202</x:v>
      </x:c>
      <x:c r="B38" s="5" t="str">
        <x:v>PLG</x:v>
      </x:c>
      <x:c r="D38" s="3" t="s">
        <x:v>203</x:v>
      </x:c>
    </x:row>
    <x:row r="39" ht="64" customHeight="1">
      <x:c r="A39" s="6" t="s">
        <x:v>204</x:v>
      </x:c>
      <x:c r="B39" s="46" t="str">
        <x:v>Không áp dụng — không chọn Partner-Led</x:v>
      </x:c>
      <x:c r="D39" s="3" t="s">
        <x:v>205</x:v>
      </x:c>
    </x:row>
    <x:row r="40" ht="64" customHeight="1">
      <x:c r="A40" s="6" t="s">
        <x:v>206</x:v>
      </x:c>
      <x:c r="B40" s="46" t="str">
        <x:v>Không áp dụng</x:v>
      </x:c>
    </x:row>
    <x:row r="41" ht="64" customHeight="1">
      <x:c r="A41" s="6" t="s">
        <x:v>207</x:v>
      </x:c>
      <x:c r="B41" s="46" t="str">
        <x:v>Không áp dụng — không có partner đã xác nhận</x:v>
      </x:c>
    </x:row>
    <x:row r="42" ht="64" customHeight="1">
      <x:c r="A42" s="6" t="s">
        <x:v>208</x:v>
      </x:c>
      <x:c r="B42" s="46" t="str">
        <x:v>Tự phục vụ $8/tháng, thử Chrome side panel; CAC mục tiêu $12 chưa đo. Không tuyển sales.</x:v>
      </x:c>
      <x:c r="D42" s="3" t="s">
        <x:v>209</x:v>
      </x:c>
    </x:row>
    <x:row r="43" ht="15.75" customHeight="1"/>
    <x:row r="44" ht="36" customHeight="1">
      <x:c r="A44" s="73" t="str">
        <x:v>AE fully-loaded giả định / năm ($)</x:v>
      </x:c>
      <x:c r="B44" s="76" t="n">
        <x:v>24000</x:v>
      </x:c>
      <x:c r="C44" s="75"/>
      <x:c r="D44" s="75"/>
    </x:row>
    <x:row r="45" ht="36" customHeight="1">
      <x:c r="A45" s="60" t="str">
        <x:v>Quota / AE cost</x:v>
      </x:c>
      <x:c r="B45" s="63" t="n">
        <x:f>B13/B44</x:f>
        <x:v>5</x:v>
      </x:c>
      <x:c r="C45" s="62"/>
      <x:c r="D45" s="62"/>
    </x:row>
    <x:row r="46" ht="36" customHeight="1">
      <x:c r="A46" s="60" t="str">
        <x:v>CAC chỉ riêng AE tại 100% quota ($)</x:v>
      </x:c>
      <x:c r="B46" s="66" t="n">
        <x:f>B44/B15</x:f>
        <x:v>19.2</x:v>
      </x:c>
      <x:c r="C46" s="62"/>
      <x:c r="D46" s="62"/>
    </x:row>
    <x:row r="47" ht="36" customHeight="1">
      <x:c r="A47" s="60" t="str">
        <x:v>CPO mẫu bài lab, CHƯA xác minh ($)</x:v>
      </x:c>
      <x:c r="B47" s="72" t="n">
        <x:v>6300</x:v>
      </x:c>
      <x:c r="C47" s="62"/>
      <x:c r="D47" s="60" t="str">
        <x:v>Chỉ stress tham chiếu từ mẫu 2026; không dùng làm sự thật thị trường Việt Nam.</x:v>
      </x:c>
    </x:row>
    <x:row r="48" ht="36" customHeight="1">
      <x:c r="A48" s="60" t="str">
        <x:v>CAC stress theo CPO mẫu ($)</x:v>
      </x:c>
      <x:c r="B48" s="66" t="n">
        <x:f>B47/B21</x:f>
        <x:v>31500</x:v>
      </x:c>
      <x:c r="C48" s="62"/>
      <x:c r="D48" s="62"/>
    </x:row>
    <x:row r="49" ht="36" customHeight="1">
      <x:c r="A49" s="60" t="str">
        <x:v>CPO tối đa motion chịu nổi ($)</x:v>
      </x:c>
      <x:c r="B49" s="66" t="n">
        <x:f>B9*B21</x:f>
        <x:v>3.3694628571428575</x:v>
      </x:c>
      <x:c r="C49" s="62"/>
      <x:c r="D49" s="62"/>
    </x:row>
    <x:row r="50" ht="36" customHeight="1">
      <x:c r="A50" s="60" t="str">
        <x:v>CAC PLG mục tiêu ($)</x:v>
      </x:c>
      <x:c r="B50" s="66" t="n">
        <x:f>'2_Pricing'!B72</x:f>
        <x:v>12</x:v>
      </x:c>
      <x:c r="C50" s="62"/>
      <x:c r="D50" s="62"/>
    </x:row>
    <x:row r="51" ht="36" customHeight="1">
      <x:c r="A51" s="60" t="str">
        <x:v>Ngân sách PLG 90 ngày ($)</x:v>
      </x:c>
      <x:c r="B51" s="66" t="n">
        <x:f>'2_Pricing'!B73</x:f>
        <x:v>840</x:v>
      </x:c>
      <x:c r="C51" s="62"/>
      <x:c r="D51" s="62"/>
    </x:row>
    <x:row r="52" ht="36" customHeight="1">
      <x:c r="A52" s="60" t="str">
        <x:v>Cash PLG 90 ngày ($)</x:v>
      </x:c>
      <x:c r="B52" s="66" t="n">
        <x:f>'2_Pricing'!B74</x:f>
        <x:v>420</x:v>
      </x:c>
      <x:c r="C52" s="62"/>
      <x:c r="D52" s="62"/>
    </x:row>
    <x:row r="53" ht="36" customHeight="1">
      <x:c r="A53" s="60" t="str">
        <x:v>Công PLG 90 ngày (giờ)</x:v>
      </x:c>
      <x:c r="B53" s="63" t="n">
        <x:f>'2_Pricing'!B75</x:f>
        <x:v>52.5</x:v>
      </x:c>
      <x:c r="C53" s="62"/>
      <x:c r="D53" s="62"/>
    </x:row>
    <x:row r="54" ht="36" customHeight="1">
      <x:c r="A54" s="60" t="str">
        <x:v>Payback tại CAC PLG mục tiêu (tháng)</x:v>
      </x:c>
      <x:c r="B54" s="63" t="n">
        <x:f>'2_Pricing'!B76</x:f>
        <x:v>2.136839106190728</x:v>
      </x:c>
      <x:c r="C54" s="62"/>
      <x:c r="D54" s="62"/>
    </x:row>
    <x:row r="55" ht="15.75" customHeight="1"/>
    <x:row r="56" ht="15.75" customHeight="1"/>
    <x:row r="57" ht="15.75" customHeight="1"/>
    <x:row r="58" ht="15.75" customHeight="1"/>
    <x:row r="59" ht="15.75" customHeight="1"/>
    <x:row r="60" ht="15.75" customHeight="1"/>
    <x:row r="61" ht="15.75" customHeight="1"/>
    <x:row r="62" ht="15.75" customHeight="1"/>
    <x:row r="63" ht="15.75" customHeight="1"/>
    <x:row r="64" ht="15.75" customHeight="1"/>
    <x:row r="65" ht="15.75" customHeight="1"/>
    <x:row r="66" ht="15.75" customHeight="1"/>
    <x:row r="67" ht="15.75" customHeight="1"/>
    <x:row r="68" ht="15.75" customHeight="1"/>
    <x:row r="69" ht="15.75" customHeight="1"/>
    <x:row r="70" ht="15.75" customHeight="1"/>
    <x:row r="71" ht="15.75" customHeight="1"/>
    <x:row r="72" ht="15.75" customHeight="1"/>
    <x:row r="73" ht="15.75" customHeight="1"/>
    <x:row r="74" ht="15.75" customHeight="1"/>
    <x:row r="75" ht="15.75" customHeight="1"/>
    <x:row r="76" ht="15.75" customHeight="1"/>
    <x:row r="77" ht="15.75" customHeight="1"/>
    <x:row r="78" ht="15.75" customHeight="1"/>
    <x:row r="79" ht="15.75" customHeight="1"/>
    <x:row r="80" ht="15.75" customHeight="1"/>
    <x:row r="81" ht="15.75" customHeight="1"/>
    <x:row r="82" ht="15.75" customHeight="1"/>
    <x:row r="83" ht="15.75" customHeight="1"/>
    <x:row r="84" ht="15.75" customHeight="1"/>
    <x:row r="85" ht="15.75" customHeight="1"/>
    <x:row r="86" ht="15.75" customHeight="1"/>
    <x:row r="87" ht="15.75" customHeight="1"/>
    <x:row r="88" ht="15.75" customHeight="1"/>
    <x:row r="89" ht="15.75" customHeight="1"/>
    <x:row r="90" ht="15.75" customHeight="1"/>
    <x:row r="91" ht="15.75" customHeight="1"/>
    <x:row r="92" ht="15.75" customHeight="1"/>
    <x:row r="93" ht="15.75" customHeight="1"/>
    <x:row r="94" ht="15.75" customHeight="1"/>
    <x:row r="95" ht="15.75" customHeight="1"/>
    <x:row r="96" ht="15.75" customHeight="1"/>
    <x:row r="97" ht="15.75" customHeight="1"/>
    <x:row r="98" ht="15.75" customHeight="1"/>
    <x:row r="99" ht="15.75" customHeight="1"/>
    <x:row r="100" ht="15.75" customHeight="1"/>
    <x:row r="101" ht="15.75" customHeight="1"/>
    <x:row r="102" ht="15.75" customHeight="1"/>
    <x:row r="103" ht="15.75" customHeight="1"/>
    <x:row r="104" ht="15.75" customHeight="1"/>
    <x:row r="105" ht="15.75" customHeight="1"/>
    <x:row r="106" ht="15.75" customHeight="1"/>
    <x:row r="107" ht="15.75" customHeight="1"/>
    <x:row r="108" ht="15.75" customHeight="1"/>
    <x:row r="109" ht="15.75" customHeight="1"/>
    <x:row r="110" ht="15.75" customHeight="1"/>
    <x:row r="111" ht="15.75" customHeight="1"/>
    <x:row r="112" ht="15.75" customHeight="1"/>
    <x:row r="113" ht="15.75" customHeight="1"/>
    <x:row r="114" ht="15.75" customHeight="1"/>
    <x:row r="115" ht="15.75" customHeight="1"/>
    <x:row r="116" ht="15.75" customHeight="1"/>
    <x:row r="117" ht="15.75" customHeight="1"/>
    <x:row r="118" ht="15.75" customHeight="1"/>
    <x:row r="119" ht="15.75" customHeight="1"/>
    <x:row r="120" ht="15.75" customHeight="1"/>
    <x:row r="121" ht="15.75" customHeight="1"/>
    <x:row r="122" ht="15.75" customHeight="1"/>
    <x:row r="123" ht="15.75" customHeight="1"/>
    <x:row r="124" ht="15.75" customHeight="1"/>
    <x:row r="125" ht="15.75" customHeight="1"/>
    <x:row r="126" ht="15.75" customHeight="1"/>
    <x:row r="127" ht="15.75" customHeight="1"/>
    <x:row r="128" ht="15.75" customHeight="1"/>
    <x:row r="129" ht="15.75" customHeight="1"/>
    <x:row r="130" ht="15.75" customHeight="1"/>
    <x:row r="131" ht="15.75" customHeight="1"/>
    <x:row r="132" ht="15.75" customHeight="1"/>
    <x:row r="133" ht="15.75" customHeight="1"/>
    <x:row r="134" ht="15.75" customHeight="1"/>
    <x:row r="135" ht="15.75" customHeight="1"/>
    <x:row r="136" ht="15.75" customHeight="1"/>
    <x:row r="137" ht="15.75" customHeight="1"/>
    <x:row r="138" ht="15.75" customHeight="1"/>
    <x:row r="139" ht="15.75" customHeight="1"/>
    <x:row r="140" ht="15.75" customHeight="1"/>
    <x:row r="141" ht="15.75" customHeight="1"/>
    <x:row r="142" ht="15.75" customHeight="1"/>
    <x:row r="143" ht="15.75" customHeight="1"/>
    <x:row r="144" ht="15.75" customHeight="1"/>
    <x:row r="145" ht="15.75" customHeight="1"/>
    <x:row r="146" ht="15.75" customHeight="1"/>
    <x:row r="147" ht="15.75" customHeight="1"/>
    <x:row r="148" ht="15.75" customHeight="1"/>
    <x:row r="149" ht="15.75" customHeight="1"/>
    <x:row r="150" ht="15.75" customHeight="1"/>
    <x:row r="151" ht="15.75" customHeight="1"/>
    <x:row r="152" ht="15.75" customHeight="1"/>
    <x:row r="153" ht="15.75" customHeight="1"/>
    <x:row r="154" ht="15.75" customHeight="1"/>
    <x:row r="155" ht="15.75" customHeight="1"/>
    <x:row r="156" ht="15.75" customHeight="1"/>
    <x:row r="157" ht="15.75" customHeight="1"/>
    <x:row r="158" ht="15.75" customHeight="1"/>
    <x:row r="159" ht="15.75" customHeight="1"/>
    <x:row r="160" ht="15.75" customHeight="1"/>
    <x:row r="161" ht="15.75" customHeight="1"/>
    <x:row r="162" ht="15.75" customHeight="1"/>
    <x:row r="163" ht="15.75" customHeight="1"/>
    <x:row r="164" ht="15.75" customHeight="1"/>
    <x:row r="165" ht="15.75" customHeight="1"/>
    <x:row r="166" ht="15.75" customHeight="1"/>
    <x:row r="167" ht="15.75" customHeight="1"/>
    <x:row r="168" ht="15.75" customHeight="1"/>
    <x:row r="169" ht="15.75" customHeight="1"/>
    <x:row r="170" ht="15.75" customHeight="1"/>
    <x:row r="171" ht="15.75" customHeight="1"/>
    <x:row r="172" ht="15.75" customHeight="1"/>
    <x:row r="173" ht="15.75" customHeight="1"/>
    <x:row r="174" ht="15.75" customHeight="1"/>
    <x:row r="175" ht="15.75" customHeight="1"/>
    <x:row r="176" ht="15.75" customHeight="1"/>
    <x:row r="177" ht="15.75" customHeight="1"/>
    <x:row r="178" ht="15.75" customHeight="1"/>
    <x:row r="179" ht="15.75" customHeight="1"/>
    <x:row r="180" ht="15.75" customHeight="1"/>
    <x:row r="181" ht="15.75" customHeight="1"/>
    <x:row r="182" ht="15.75" customHeight="1"/>
    <x:row r="183" ht="15.75" customHeight="1"/>
    <x:row r="184" ht="15.75" customHeight="1"/>
    <x:row r="185" ht="15.75" customHeight="1"/>
    <x:row r="186" ht="15.75" customHeight="1"/>
    <x:row r="187" ht="15.75" customHeight="1"/>
    <x:row r="188" ht="15.75" customHeight="1"/>
    <x:row r="189" ht="15.75" customHeight="1"/>
    <x:row r="190" ht="15.75" customHeight="1"/>
    <x:row r="191" ht="15.75" customHeight="1"/>
    <x:row r="192" ht="15.75" customHeight="1"/>
    <x:row r="193" ht="15.75" customHeight="1"/>
    <x:row r="194" ht="15.75" customHeight="1"/>
    <x:row r="195" ht="15.75" customHeight="1"/>
    <x:row r="196" ht="15.75" customHeight="1"/>
    <x:row r="197" ht="15.75" customHeight="1"/>
    <x:row r="198" ht="15.75" customHeight="1"/>
    <x:row r="199" ht="15.75" customHeight="1"/>
    <x:row r="200" ht="15.75" customHeight="1"/>
    <x:row r="201" ht="15.75" customHeight="1"/>
    <x:row r="202" ht="15.75" customHeight="1"/>
    <x:row r="203" ht="15.75" customHeight="1"/>
    <x:row r="204" ht="15.75" customHeight="1"/>
    <x:row r="205" ht="15.75" customHeight="1"/>
    <x:row r="206" ht="15.75" customHeight="1"/>
    <x:row r="207" ht="15.75" customHeight="1"/>
    <x:row r="208" ht="15.75" customHeight="1"/>
    <x:row r="209" ht="15.75" customHeight="1"/>
    <x:row r="210" ht="15.75" customHeight="1"/>
    <x:row r="211" ht="15.75" customHeight="1"/>
    <x:row r="212" ht="15.75" customHeight="1"/>
    <x:row r="213" ht="15.75" customHeight="1"/>
    <x:row r="214" ht="15.75" customHeight="1"/>
    <x:row r="215" ht="15.75" customHeight="1"/>
    <x:row r="216" ht="15.75" customHeight="1"/>
    <x:row r="217" ht="15.75" customHeight="1"/>
    <x:row r="218" ht="15.75" customHeight="1"/>
    <x:row r="219" ht="15.75" customHeight="1"/>
    <x:row r="220" ht="15.75" customHeight="1"/>
    <x:row r="221" ht="15.75" customHeight="1"/>
    <x:row r="222" ht="15.75" customHeight="1"/>
    <x:row r="223" ht="15.75" customHeight="1"/>
    <x:row r="224" ht="15.75" customHeight="1"/>
    <x:row r="225" ht="15.75" customHeight="1"/>
    <x:row r="226" ht="15.75" customHeight="1"/>
    <x:row r="227" ht="15.75" customHeight="1"/>
    <x:row r="228" ht="15.75" customHeight="1"/>
    <x:row r="229" ht="15.75" customHeight="1"/>
    <x:row r="230" ht="15.75" customHeight="1"/>
    <x:row r="231" ht="15.75" customHeight="1"/>
    <x:row r="232" ht="15.75" customHeight="1"/>
    <x:row r="233" ht="15.75" customHeight="1"/>
    <x:row r="234" ht="15.75" customHeight="1"/>
    <x:row r="235" ht="15.75" customHeight="1"/>
    <x:row r="236" ht="15.75" customHeight="1"/>
    <x:row r="237" ht="15.75" customHeight="1"/>
    <x:row r="238" ht="15.75" customHeight="1"/>
    <x:row r="239" ht="15.75" customHeight="1"/>
    <x:row r="240" ht="15.75" customHeight="1"/>
    <x:row r="241" ht="15.75" customHeight="1"/>
    <x:row r="242" ht="15.75" customHeight="1"/>
    <x:row r="243" ht="15.75" customHeight="1"/>
    <x:row r="244" ht="15.75" customHeight="1"/>
    <x:row r="245" ht="15.75" customHeight="1"/>
    <x:row r="246" ht="15.75" customHeight="1"/>
    <x:row r="247" ht="15.75" customHeight="1"/>
    <x:row r="248" ht="15.75" customHeight="1"/>
    <x:row r="249" ht="15.75" customHeight="1"/>
    <x:row r="250" ht="15.75" customHeight="1"/>
    <x:row r="251" ht="15.75" customHeight="1"/>
    <x:row r="252" ht="15.75" customHeight="1"/>
    <x:row r="253" ht="15.75" customHeight="1"/>
    <x:row r="254" ht="15.75" customHeight="1"/>
    <x:row r="255" ht="15.75" customHeight="1"/>
    <x:row r="256" ht="15.75" customHeight="1"/>
    <x:row r="257" ht="15.75" customHeight="1"/>
    <x:row r="258" ht="15.75" customHeight="1"/>
    <x:row r="259" ht="15.75" customHeight="1"/>
    <x:row r="260" ht="15.75" customHeight="1"/>
    <x:row r="261" ht="15.75" customHeight="1"/>
    <x:row r="262" ht="15.75" customHeight="1"/>
    <x:row r="263" ht="15.75" customHeight="1"/>
    <x:row r="264" ht="15.75" customHeight="1"/>
    <x:row r="265" ht="15.75" customHeight="1"/>
    <x:row r="266" ht="15.75" customHeight="1"/>
    <x:row r="267" ht="15.75" customHeight="1"/>
    <x:row r="268" ht="15.75" customHeight="1"/>
    <x:row r="269" ht="15.75" customHeight="1"/>
    <x:row r="270" ht="15.75" customHeight="1"/>
    <x:row r="271" ht="15.75" customHeight="1"/>
    <x:row r="272" ht="15.75" customHeight="1"/>
    <x:row r="273" ht="15.75" customHeight="1"/>
    <x:row r="274" ht="15.75" customHeight="1"/>
    <x:row r="275" ht="15.75" customHeight="1"/>
    <x:row r="276" ht="15.75" customHeight="1"/>
    <x:row r="277" ht="15.75" customHeight="1"/>
    <x:row r="278" ht="15.75" customHeight="1"/>
    <x:row r="279" ht="15.75" customHeight="1"/>
    <x:row r="280" ht="15.75" customHeight="1"/>
    <x:row r="281" ht="15.75" customHeight="1"/>
    <x:row r="282" ht="15.75" customHeight="1"/>
    <x:row r="283" ht="15.75" customHeight="1"/>
    <x:row r="284" ht="15.75" customHeight="1"/>
    <x:row r="285" ht="15.75" customHeight="1"/>
    <x:row r="286" ht="15.75" customHeight="1"/>
    <x:row r="287" ht="15.75" customHeight="1"/>
    <x:row r="288" ht="15.75" customHeight="1"/>
    <x:row r="289" ht="15.75" customHeight="1"/>
    <x:row r="290" ht="15.75" customHeight="1"/>
    <x:row r="291" ht="15.75" customHeight="1"/>
    <x:row r="292" ht="15.75" customHeight="1"/>
    <x:row r="293" ht="15.75" customHeight="1"/>
    <x:row r="294" ht="15.75" customHeight="1"/>
    <x:row r="295" ht="15.75" customHeight="1"/>
    <x:row r="296" ht="15.75" customHeight="1"/>
    <x:row r="297" ht="15.75" customHeight="1"/>
    <x:row r="298" ht="15.75" customHeight="1"/>
    <x:row r="299" ht="15.75" customHeight="1"/>
    <x:row r="300" ht="15.75" customHeight="1"/>
    <x:row r="301" ht="15.75" customHeight="1"/>
    <x:row r="302" ht="15.75" customHeight="1"/>
    <x:row r="303" ht="15.75" customHeight="1"/>
    <x:row r="304" ht="15.75" customHeight="1"/>
    <x:row r="305" ht="15.75" customHeight="1"/>
    <x:row r="306" ht="15.75" customHeight="1"/>
    <x:row r="307" ht="15.75" customHeight="1"/>
    <x:row r="308" ht="15.75" customHeight="1"/>
    <x:row r="309" ht="15.75" customHeight="1"/>
    <x:row r="310" ht="15.75" customHeight="1"/>
    <x:row r="311" ht="15.75" customHeight="1"/>
    <x:row r="312" ht="15.75" customHeight="1"/>
    <x:row r="313" ht="15.75" customHeight="1"/>
    <x:row r="314" ht="15.75" customHeight="1"/>
    <x:row r="315" ht="15.75" customHeight="1"/>
    <x:row r="316" ht="15.75" customHeight="1"/>
    <x:row r="317" ht="15.75" customHeight="1"/>
    <x:row r="318" ht="15.75" customHeight="1"/>
    <x:row r="319" ht="15.75" customHeight="1"/>
    <x:row r="320" ht="15.75" customHeight="1"/>
    <x:row r="321" ht="15.75" customHeight="1"/>
    <x:row r="322" ht="15.75" customHeight="1"/>
    <x:row r="323" ht="15.75" customHeight="1"/>
    <x:row r="324" ht="15.75" customHeight="1"/>
    <x:row r="325" ht="15.75" customHeight="1"/>
    <x:row r="326" ht="15.75" customHeight="1"/>
    <x:row r="327" ht="15.75" customHeight="1"/>
    <x:row r="328" ht="15.75" customHeight="1"/>
    <x:row r="329" ht="15.75" customHeight="1"/>
    <x:row r="330" ht="15.75" customHeight="1"/>
    <x:row r="331" ht="15.75" customHeight="1"/>
    <x:row r="332" ht="15.75" customHeight="1"/>
    <x:row r="333" ht="15.75" customHeight="1"/>
    <x:row r="334" ht="15.75" customHeight="1"/>
    <x:row r="335" ht="15.75" customHeight="1"/>
    <x:row r="336" ht="15.75" customHeight="1"/>
    <x:row r="337" ht="15.75" customHeight="1"/>
    <x:row r="338" ht="15.75" customHeight="1"/>
    <x:row r="339" ht="15.75" customHeight="1"/>
    <x:row r="340" ht="15.75" customHeight="1"/>
    <x:row r="341" ht="15.75" customHeight="1"/>
    <x:row r="342" ht="15.75" customHeight="1"/>
    <x:row r="343" ht="15.75" customHeight="1"/>
    <x:row r="344" ht="15.75" customHeight="1"/>
    <x:row r="345" ht="15.75" customHeight="1"/>
    <x:row r="346" ht="15.75" customHeight="1"/>
    <x:row r="347" ht="15.75" customHeight="1"/>
    <x:row r="348" ht="15.75" customHeight="1"/>
    <x:row r="349" ht="15.75" customHeight="1"/>
    <x:row r="350" ht="15.75" customHeight="1"/>
    <x:row r="351" ht="15.75" customHeight="1"/>
    <x:row r="352" ht="15.75" customHeight="1"/>
    <x:row r="353" ht="15.75" customHeight="1"/>
    <x:row r="354" ht="15.75" customHeight="1"/>
    <x:row r="355" ht="15.75" customHeight="1"/>
    <x:row r="356" ht="15.75" customHeight="1"/>
    <x:row r="357" ht="15.75" customHeight="1"/>
    <x:row r="358" ht="15.75" customHeight="1"/>
    <x:row r="359" ht="15.75" customHeight="1"/>
    <x:row r="360" ht="15.75" customHeight="1"/>
    <x:row r="361" ht="15.75" customHeight="1"/>
    <x:row r="362" ht="15.75" customHeight="1"/>
    <x:row r="363" ht="15.75" customHeight="1"/>
    <x:row r="364" ht="15.75" customHeight="1"/>
    <x:row r="365" ht="15.75" customHeight="1"/>
    <x:row r="366" ht="15.75" customHeight="1"/>
    <x:row r="367" ht="15.75" customHeight="1"/>
    <x:row r="368" ht="15.75" customHeight="1"/>
    <x:row r="369" ht="15.75" customHeight="1"/>
    <x:row r="370" ht="15.75" customHeight="1"/>
    <x:row r="371" ht="15.75" customHeight="1"/>
    <x:row r="372" ht="15.75" customHeight="1"/>
    <x:row r="373" ht="15.75" customHeight="1"/>
    <x:row r="374" ht="15.75" customHeight="1"/>
    <x:row r="375" ht="15.75" customHeight="1"/>
    <x:row r="376" ht="15.75" customHeight="1"/>
    <x:row r="377" ht="15.75" customHeight="1"/>
    <x:row r="378" ht="15.75" customHeight="1"/>
    <x:row r="379" ht="15.75" customHeight="1"/>
    <x:row r="380" ht="15.75" customHeight="1"/>
    <x:row r="381" ht="15.75" customHeight="1"/>
    <x:row r="382" ht="15.75" customHeight="1"/>
    <x:row r="383" ht="15.75" customHeight="1"/>
    <x:row r="384" ht="15.75" customHeight="1"/>
    <x:row r="385" ht="15.75" customHeight="1"/>
    <x:row r="386" ht="15.75" customHeight="1"/>
    <x:row r="387" ht="15.75" customHeight="1"/>
    <x:row r="388" ht="15.75" customHeight="1"/>
    <x:row r="389" ht="15.75" customHeight="1"/>
    <x:row r="390" ht="15.75" customHeight="1"/>
    <x:row r="391" ht="15.75" customHeight="1"/>
    <x:row r="392" ht="15.75" customHeight="1"/>
    <x:row r="393" ht="15.75" customHeight="1"/>
    <x:row r="394" ht="15.75" customHeight="1"/>
    <x:row r="395" ht="15.75" customHeight="1"/>
    <x:row r="396" ht="15.75" customHeight="1"/>
    <x:row r="397" ht="15.75" customHeight="1"/>
    <x:row r="398" ht="15.75" customHeight="1"/>
    <x:row r="399" ht="15.75" customHeight="1"/>
    <x:row r="400" ht="15.75" customHeight="1"/>
    <x:row r="401" ht="15.75" customHeight="1"/>
    <x:row r="402" ht="15.75" customHeight="1"/>
    <x:row r="403" ht="15.75" customHeight="1"/>
    <x:row r="404" ht="15.75" customHeight="1"/>
    <x:row r="405" ht="15.75" customHeight="1"/>
    <x:row r="406" ht="15.75" customHeight="1"/>
    <x:row r="407" ht="15.75" customHeight="1"/>
    <x:row r="408" ht="15.75" customHeight="1"/>
    <x:row r="409" ht="15.75" customHeight="1"/>
    <x:row r="410" ht="15.75" customHeight="1"/>
    <x:row r="411" ht="15.75" customHeight="1"/>
    <x:row r="412" ht="15.75" customHeight="1"/>
    <x:row r="413" ht="15.75" customHeight="1"/>
    <x:row r="414" ht="15.75" customHeight="1"/>
    <x:row r="415" ht="15.75" customHeight="1"/>
    <x:row r="416" ht="15.75" customHeight="1"/>
    <x:row r="417" ht="15.75" customHeight="1"/>
    <x:row r="418" ht="15.75" customHeight="1"/>
    <x:row r="419" ht="15.75" customHeight="1"/>
    <x:row r="420" ht="15.75" customHeight="1"/>
    <x:row r="421" ht="15.75" customHeight="1"/>
    <x:row r="422" ht="15.75" customHeight="1"/>
    <x:row r="423" ht="15.75" customHeight="1"/>
    <x:row r="424" ht="15.75" customHeight="1"/>
    <x:row r="425" ht="15.75" customHeight="1"/>
    <x:row r="426" ht="15.75" customHeight="1"/>
    <x:row r="427" ht="15.75" customHeight="1"/>
    <x:row r="428" ht="15.75" customHeight="1"/>
    <x:row r="429" ht="15.75" customHeight="1"/>
    <x:row r="430" ht="15.75" customHeight="1"/>
    <x:row r="431" ht="15.75" customHeight="1"/>
    <x:row r="432" ht="15.75" customHeight="1"/>
    <x:row r="433" ht="15.75" customHeight="1"/>
    <x:row r="434" ht="15.75" customHeight="1"/>
    <x:row r="435" ht="15.75" customHeight="1"/>
    <x:row r="436" ht="15.75" customHeight="1"/>
    <x:row r="437" ht="15.75" customHeight="1"/>
    <x:row r="438" ht="15.75" customHeight="1"/>
    <x:row r="439" ht="15.75" customHeight="1"/>
    <x:row r="440" ht="15.75" customHeight="1"/>
    <x:row r="441" ht="15.75" customHeight="1"/>
    <x:row r="442" ht="15.75" customHeight="1"/>
    <x:row r="443" ht="15.75" customHeight="1"/>
    <x:row r="444" ht="15.75" customHeight="1"/>
    <x:row r="445" ht="15.75" customHeight="1"/>
    <x:row r="446" ht="15.75" customHeight="1"/>
    <x:row r="447" ht="15.75" customHeight="1"/>
    <x:row r="448" ht="15.75" customHeight="1"/>
    <x:row r="449" ht="15.75" customHeight="1"/>
    <x:row r="450" ht="15.75" customHeight="1"/>
    <x:row r="451" ht="15.75" customHeight="1"/>
    <x:row r="452" ht="15.75" customHeight="1"/>
    <x:row r="453" ht="15.75" customHeight="1"/>
    <x:row r="454" ht="15.75" customHeight="1"/>
    <x:row r="455" ht="15.75" customHeight="1"/>
    <x:row r="456" ht="15.75" customHeight="1"/>
    <x:row r="457" ht="15.75" customHeight="1"/>
    <x:row r="458" ht="15.75" customHeight="1"/>
    <x:row r="459" ht="15.75" customHeight="1"/>
    <x:row r="460" ht="15.75" customHeight="1"/>
    <x:row r="461" ht="15.75" customHeight="1"/>
    <x:row r="462" ht="15.75" customHeight="1"/>
    <x:row r="463" ht="15.75" customHeight="1"/>
    <x:row r="464" ht="15.75" customHeight="1"/>
    <x:row r="465" ht="15.75" customHeight="1"/>
    <x:row r="466" ht="15.75" customHeight="1"/>
    <x:row r="467" ht="15.75" customHeight="1"/>
    <x:row r="468" ht="15.75" customHeight="1"/>
    <x:row r="469" ht="15.75" customHeight="1"/>
    <x:row r="470" ht="15.75" customHeight="1"/>
    <x:row r="471" ht="15.75" customHeight="1"/>
    <x:row r="472" ht="15.75" customHeight="1"/>
    <x:row r="473" ht="15.75" customHeight="1"/>
    <x:row r="474" ht="15.75" customHeight="1"/>
    <x:row r="475" ht="15.75" customHeight="1"/>
    <x:row r="476" ht="15.75" customHeight="1"/>
    <x:row r="477" ht="15.75" customHeight="1"/>
    <x:row r="478" ht="15.75" customHeight="1"/>
    <x:row r="479" ht="15.75" customHeight="1"/>
    <x:row r="480" ht="15.75" customHeight="1"/>
    <x:row r="481" ht="15.75" customHeight="1"/>
    <x:row r="482" ht="15.75" customHeight="1"/>
    <x:row r="483" ht="15.75" customHeight="1"/>
    <x:row r="484" ht="15.75" customHeight="1"/>
    <x:row r="485" ht="15.75" customHeight="1"/>
    <x:row r="486" ht="15.75" customHeight="1"/>
    <x:row r="487" ht="15.75" customHeight="1"/>
    <x:row r="488" ht="15.75" customHeight="1"/>
    <x:row r="489" ht="15.75" customHeight="1"/>
    <x:row r="490" ht="15.75" customHeight="1"/>
    <x:row r="491" ht="15.75" customHeight="1"/>
    <x:row r="492" ht="15.75" customHeight="1"/>
    <x:row r="493" ht="15.75" customHeight="1"/>
    <x:row r="494" ht="15.75" customHeight="1"/>
    <x:row r="495" ht="15.75" customHeight="1"/>
    <x:row r="496" ht="15.75" customHeight="1"/>
    <x:row r="497" ht="15.75" customHeight="1"/>
    <x:row r="498" ht="15.75" customHeight="1"/>
    <x:row r="499" ht="15.75" customHeight="1"/>
    <x:row r="500" ht="15.75" customHeight="1"/>
    <x:row r="501" ht="15.75" customHeight="1"/>
    <x:row r="502" ht="15.75" customHeight="1"/>
    <x:row r="503" ht="15.75" customHeight="1"/>
    <x:row r="504" ht="15.75" customHeight="1"/>
    <x:row r="505" ht="15.75" customHeight="1"/>
    <x:row r="506" ht="15.75" customHeight="1"/>
    <x:row r="507" ht="15.75" customHeight="1"/>
    <x:row r="508" ht="15.75" customHeight="1"/>
    <x:row r="509" ht="15.75" customHeight="1"/>
    <x:row r="510" ht="15.75" customHeight="1"/>
    <x:row r="511" ht="15.75" customHeight="1"/>
    <x:row r="512" ht="15.75" customHeight="1"/>
    <x:row r="513" ht="15.75" customHeight="1"/>
    <x:row r="514" ht="15.75" customHeight="1"/>
    <x:row r="515" ht="15.75" customHeight="1"/>
    <x:row r="516" ht="15.75" customHeight="1"/>
    <x:row r="517" ht="15.75" customHeight="1"/>
    <x:row r="518" ht="15.75" customHeight="1"/>
    <x:row r="519" ht="15.75" customHeight="1"/>
    <x:row r="520" ht="15.75" customHeight="1"/>
    <x:row r="521" ht="15.75" customHeight="1"/>
    <x:row r="522" ht="15.75" customHeight="1"/>
    <x:row r="523" ht="15.75" customHeight="1"/>
    <x:row r="524" ht="15.75" customHeight="1"/>
    <x:row r="525" ht="15.75" customHeight="1"/>
    <x:row r="526" ht="15.75" customHeight="1"/>
    <x:row r="527" ht="15.75" customHeight="1"/>
    <x:row r="528" ht="15.75" customHeight="1"/>
    <x:row r="529" ht="15.75" customHeight="1"/>
    <x:row r="530" ht="15.75" customHeight="1"/>
    <x:row r="531" ht="15.75" customHeight="1"/>
    <x:row r="532" ht="15.75" customHeight="1"/>
    <x:row r="533" ht="15.75" customHeight="1"/>
    <x:row r="534" ht="15.75" customHeight="1"/>
    <x:row r="535" ht="15.75" customHeight="1"/>
    <x:row r="536" ht="15.75" customHeight="1"/>
    <x:row r="537" ht="15.75" customHeight="1"/>
    <x:row r="538" ht="15.75" customHeight="1"/>
    <x:row r="539" ht="15.75" customHeight="1"/>
    <x:row r="540" ht="15.75" customHeight="1"/>
    <x:row r="541" ht="15.75" customHeight="1"/>
    <x:row r="542" ht="15.75" customHeight="1"/>
    <x:row r="543" ht="15.75" customHeight="1"/>
    <x:row r="544" ht="15.75" customHeight="1"/>
    <x:row r="545" ht="15.75" customHeight="1"/>
    <x:row r="546" ht="15.75" customHeight="1"/>
    <x:row r="547" ht="15.75" customHeight="1"/>
    <x:row r="548" ht="15.75" customHeight="1"/>
    <x:row r="549" ht="15.75" customHeight="1"/>
    <x:row r="550" ht="15.75" customHeight="1"/>
    <x:row r="551" ht="15.75" customHeight="1"/>
    <x:row r="552" ht="15.75" customHeight="1"/>
    <x:row r="553" ht="15.75" customHeight="1"/>
    <x:row r="554" ht="15.75" customHeight="1"/>
    <x:row r="555" ht="15.75" customHeight="1"/>
    <x:row r="556" ht="15.75" customHeight="1"/>
    <x:row r="557" ht="15.75" customHeight="1"/>
    <x:row r="558" ht="15.75" customHeight="1"/>
    <x:row r="559" ht="15.75" customHeight="1"/>
    <x:row r="560" ht="15.75" customHeight="1"/>
    <x:row r="561" ht="15.75" customHeight="1"/>
    <x:row r="562" ht="15.75" customHeight="1"/>
    <x:row r="563" ht="15.75" customHeight="1"/>
    <x:row r="564" ht="15.75" customHeight="1"/>
    <x:row r="565" ht="15.75" customHeight="1"/>
    <x:row r="566" ht="15.75" customHeight="1"/>
    <x:row r="567" ht="15.75" customHeight="1"/>
    <x:row r="568" ht="15.75" customHeight="1"/>
    <x:row r="569" ht="15.75" customHeight="1"/>
    <x:row r="570" ht="15.75" customHeight="1"/>
    <x:row r="571" ht="15.75" customHeight="1"/>
    <x:row r="572" ht="15.75" customHeight="1"/>
    <x:row r="573" ht="15.75" customHeight="1"/>
    <x:row r="574" ht="15.75" customHeight="1"/>
    <x:row r="575" ht="15.75" customHeight="1"/>
    <x:row r="576" ht="15.75" customHeight="1"/>
    <x:row r="577" ht="15.75" customHeight="1"/>
    <x:row r="578" ht="15.75" customHeight="1"/>
    <x:row r="579" ht="15.75" customHeight="1"/>
    <x:row r="580" ht="15.75" customHeight="1"/>
    <x:row r="581" ht="15.75" customHeight="1"/>
    <x:row r="582" ht="15.75" customHeight="1"/>
    <x:row r="583" ht="15.75" customHeight="1"/>
    <x:row r="584" ht="15.75" customHeight="1"/>
    <x:row r="585" ht="15.75" customHeight="1"/>
    <x:row r="586" ht="15.75" customHeight="1"/>
    <x:row r="587" ht="15.75" customHeight="1"/>
    <x:row r="588" ht="15.75" customHeight="1"/>
    <x:row r="589" ht="15.75" customHeight="1"/>
    <x:row r="590" ht="15.75" customHeight="1"/>
    <x:row r="591" ht="15.75" customHeight="1"/>
    <x:row r="592" ht="15.75" customHeight="1"/>
    <x:row r="593" ht="15.75" customHeight="1"/>
    <x:row r="594" ht="15.75" customHeight="1"/>
    <x:row r="595" ht="15.75" customHeight="1"/>
    <x:row r="596" ht="15.75" customHeight="1"/>
    <x:row r="597" ht="15.75" customHeight="1"/>
    <x:row r="598" ht="15.75" customHeight="1"/>
    <x:row r="599" ht="15.75" customHeight="1"/>
    <x:row r="600" ht="15.75" customHeight="1"/>
    <x:row r="601" ht="15.75" customHeight="1"/>
    <x:row r="602" ht="15.75" customHeight="1"/>
    <x:row r="603" ht="15.75" customHeight="1"/>
    <x:row r="604" ht="15.75" customHeight="1"/>
    <x:row r="605" ht="15.75" customHeight="1"/>
    <x:row r="606" ht="15.75" customHeight="1"/>
    <x:row r="607" ht="15.75" customHeight="1"/>
    <x:row r="608" ht="15.75" customHeight="1"/>
    <x:row r="609" ht="15.75" customHeight="1"/>
    <x:row r="610" ht="15.75" customHeight="1"/>
    <x:row r="611" ht="15.75" customHeight="1"/>
    <x:row r="612" ht="15.75" customHeight="1"/>
    <x:row r="613" ht="15.75" customHeight="1"/>
    <x:row r="614" ht="15.75" customHeight="1"/>
    <x:row r="615" ht="15.75" customHeight="1"/>
    <x:row r="616" ht="15.75" customHeight="1"/>
    <x:row r="617" ht="15.75" customHeight="1"/>
    <x:row r="618" ht="15.75" customHeight="1"/>
    <x:row r="619" ht="15.75" customHeight="1"/>
    <x:row r="620" ht="15.75" customHeight="1"/>
    <x:row r="621" ht="15.75" customHeight="1"/>
    <x:row r="622" ht="15.75" customHeight="1"/>
    <x:row r="623" ht="15.75" customHeight="1"/>
    <x:row r="624" ht="15.75" customHeight="1"/>
    <x:row r="625" ht="15.75" customHeight="1"/>
    <x:row r="626" ht="15.75" customHeight="1"/>
    <x:row r="627" ht="15.75" customHeight="1"/>
    <x:row r="628" ht="15.75" customHeight="1"/>
    <x:row r="629" ht="15.75" customHeight="1"/>
    <x:row r="630" ht="15.75" customHeight="1"/>
    <x:row r="631" ht="15.75" customHeight="1"/>
    <x:row r="632" ht="15.75" customHeight="1"/>
    <x:row r="633" ht="15.75" customHeight="1"/>
    <x:row r="634" ht="15.75" customHeight="1"/>
    <x:row r="635" ht="15.75" customHeight="1"/>
    <x:row r="636" ht="15.75" customHeight="1"/>
    <x:row r="637" ht="15.75" customHeight="1"/>
    <x:row r="638" ht="15.75" customHeight="1"/>
    <x:row r="639" ht="15.75" customHeight="1"/>
    <x:row r="640" ht="15.75" customHeight="1"/>
    <x:row r="641" ht="15.75" customHeight="1"/>
    <x:row r="642" ht="15.75" customHeight="1"/>
    <x:row r="643" ht="15.75" customHeight="1"/>
    <x:row r="644" ht="15.75" customHeight="1"/>
    <x:row r="645" ht="15.75" customHeight="1"/>
    <x:row r="646" ht="15.75" customHeight="1"/>
    <x:row r="647" ht="15.75" customHeight="1"/>
    <x:row r="648" ht="15.75" customHeight="1"/>
    <x:row r="649" ht="15.75" customHeight="1"/>
    <x:row r="650" ht="15.75" customHeight="1"/>
    <x:row r="651" ht="15.75" customHeight="1"/>
    <x:row r="652" ht="15.75" customHeight="1"/>
    <x:row r="653" ht="15.75" customHeight="1"/>
    <x:row r="654" ht="15.75" customHeight="1"/>
    <x:row r="655" ht="15.75" customHeight="1"/>
    <x:row r="656" ht="15.75" customHeight="1"/>
    <x:row r="657" ht="15.75" customHeight="1"/>
    <x:row r="658" ht="15.75" customHeight="1"/>
    <x:row r="659" ht="15.75" customHeight="1"/>
    <x:row r="660" ht="15.75" customHeight="1"/>
    <x:row r="661" ht="15.75" customHeight="1"/>
    <x:row r="662" ht="15.75" customHeight="1"/>
    <x:row r="663" ht="15.75" customHeight="1"/>
    <x:row r="664" ht="15.75" customHeight="1"/>
    <x:row r="665" ht="15.75" customHeight="1"/>
    <x:row r="666" ht="15.75" customHeight="1"/>
    <x:row r="667" ht="15.75" customHeight="1"/>
    <x:row r="668" ht="15.75" customHeight="1"/>
    <x:row r="669" ht="15.75" customHeight="1"/>
    <x:row r="670" ht="15.75" customHeight="1"/>
    <x:row r="671" ht="15.75" customHeight="1"/>
    <x:row r="672" ht="15.75" customHeight="1"/>
    <x:row r="673" ht="15.75" customHeight="1"/>
    <x:row r="674" ht="15.75" customHeight="1"/>
    <x:row r="675" ht="15.75" customHeight="1"/>
    <x:row r="676" ht="15.75" customHeight="1"/>
    <x:row r="677" ht="15.75" customHeight="1"/>
    <x:row r="678" ht="15.75" customHeight="1"/>
    <x:row r="679" ht="15.75" customHeight="1"/>
    <x:row r="680" ht="15.75" customHeight="1"/>
    <x:row r="681" ht="15.75" customHeight="1"/>
    <x:row r="682" ht="15.75" customHeight="1"/>
    <x:row r="683" ht="15.75" customHeight="1"/>
    <x:row r="684" ht="15.75" customHeight="1"/>
    <x:row r="685" ht="15.75" customHeight="1"/>
    <x:row r="686" ht="15.75" customHeight="1"/>
    <x:row r="687" ht="15.75" customHeight="1"/>
    <x:row r="688" ht="15.75" customHeight="1"/>
    <x:row r="689" ht="15.75" customHeight="1"/>
    <x:row r="690" ht="15.75" customHeight="1"/>
    <x:row r="691" ht="15.75" customHeight="1"/>
    <x:row r="692" ht="15.75" customHeight="1"/>
    <x:row r="693" ht="15.75" customHeight="1"/>
    <x:row r="694" ht="15.75" customHeight="1"/>
    <x:row r="695" ht="15.75" customHeight="1"/>
    <x:row r="696" ht="15.75" customHeight="1"/>
    <x:row r="697" ht="15.75" customHeight="1"/>
    <x:row r="698" ht="15.75" customHeight="1"/>
    <x:row r="699" ht="15.75" customHeight="1"/>
    <x:row r="700" ht="15.75" customHeight="1"/>
    <x:row r="701" ht="15.75" customHeight="1"/>
    <x:row r="702" ht="15.75" customHeight="1"/>
    <x:row r="703" ht="15.75" customHeight="1"/>
    <x:row r="704" ht="15.75" customHeight="1"/>
    <x:row r="705" ht="15.75" customHeight="1"/>
    <x:row r="706" ht="15.75" customHeight="1"/>
    <x:row r="707" ht="15.75" customHeight="1"/>
    <x:row r="708" ht="15.75" customHeight="1"/>
    <x:row r="709" ht="15.75" customHeight="1"/>
    <x:row r="710" ht="15.75" customHeight="1"/>
    <x:row r="711" ht="15.75" customHeight="1"/>
    <x:row r="712" ht="15.75" customHeight="1"/>
    <x:row r="713" ht="15.75" customHeight="1"/>
    <x:row r="714" ht="15.75" customHeight="1"/>
    <x:row r="715" ht="15.75" customHeight="1"/>
    <x:row r="716" ht="15.75" customHeight="1"/>
    <x:row r="717" ht="15.75" customHeight="1"/>
    <x:row r="718" ht="15.75" customHeight="1"/>
    <x:row r="719" ht="15.75" customHeight="1"/>
    <x:row r="720" ht="15.75" customHeight="1"/>
    <x:row r="721" ht="15.75" customHeight="1"/>
    <x:row r="722" ht="15.75" customHeight="1"/>
    <x:row r="723" ht="15.75" customHeight="1"/>
    <x:row r="724" ht="15.75" customHeight="1"/>
    <x:row r="725" ht="15.75" customHeight="1"/>
    <x:row r="726" ht="15.75" customHeight="1"/>
    <x:row r="727" ht="15.75" customHeight="1"/>
    <x:row r="728" ht="15.75" customHeight="1"/>
    <x:row r="729" ht="15.75" customHeight="1"/>
    <x:row r="730" ht="15.75" customHeight="1"/>
    <x:row r="731" ht="15.75" customHeight="1"/>
    <x:row r="732" ht="15.75" customHeight="1"/>
    <x:row r="733" ht="15.75" customHeight="1"/>
    <x:row r="734" ht="15.75" customHeight="1"/>
    <x:row r="735" ht="15.75" customHeight="1"/>
    <x:row r="736" ht="15.75" customHeight="1"/>
    <x:row r="737" ht="15.75" customHeight="1"/>
    <x:row r="738" ht="15.75" customHeight="1"/>
    <x:row r="739" ht="15.75" customHeight="1"/>
    <x:row r="740" ht="15.75" customHeight="1"/>
    <x:row r="741" ht="15.75" customHeight="1"/>
    <x:row r="742" ht="15.75" customHeight="1"/>
    <x:row r="743" ht="15.75" customHeight="1"/>
    <x:row r="744" ht="15.75" customHeight="1"/>
    <x:row r="745" ht="15.75" customHeight="1"/>
    <x:row r="746" ht="15.75" customHeight="1"/>
    <x:row r="747" ht="15.75" customHeight="1"/>
    <x:row r="748" ht="15.75" customHeight="1"/>
    <x:row r="749" ht="15.75" customHeight="1"/>
    <x:row r="750" ht="15.75" customHeight="1"/>
    <x:row r="751" ht="15.75" customHeight="1"/>
    <x:row r="752" ht="15.75" customHeight="1"/>
    <x:row r="753" ht="15.75" customHeight="1"/>
    <x:row r="754" ht="15.75" customHeight="1"/>
    <x:row r="755" ht="15.75" customHeight="1"/>
    <x:row r="756" ht="15.75" customHeight="1"/>
    <x:row r="757" ht="15.75" customHeight="1"/>
    <x:row r="758" ht="15.75" customHeight="1"/>
    <x:row r="759" ht="15.75" customHeight="1"/>
    <x:row r="760" ht="15.75" customHeight="1"/>
    <x:row r="761" ht="15.75" customHeight="1"/>
    <x:row r="762" ht="15.75" customHeight="1"/>
    <x:row r="763" ht="15.75" customHeight="1"/>
    <x:row r="764" ht="15.75" customHeight="1"/>
    <x:row r="765" ht="15.75" customHeight="1"/>
    <x:row r="766" ht="15.75" customHeight="1"/>
    <x:row r="767" ht="15.75" customHeight="1"/>
    <x:row r="768" ht="15.75" customHeight="1"/>
    <x:row r="769" ht="15.75" customHeight="1"/>
    <x:row r="770" ht="15.75" customHeight="1"/>
    <x:row r="771" ht="15.75" customHeight="1"/>
    <x:row r="772" ht="15.75" customHeight="1"/>
    <x:row r="773" ht="15.75" customHeight="1"/>
    <x:row r="774" ht="15.75" customHeight="1"/>
    <x:row r="775" ht="15.75" customHeight="1"/>
    <x:row r="776" ht="15.75" customHeight="1"/>
    <x:row r="777" ht="15.75" customHeight="1"/>
    <x:row r="778" ht="15.75" customHeight="1"/>
    <x:row r="779" ht="15.75" customHeight="1"/>
    <x:row r="780" ht="15.75" customHeight="1"/>
    <x:row r="781" ht="15.75" customHeight="1"/>
    <x:row r="782" ht="15.75" customHeight="1"/>
    <x:row r="783" ht="15.75" customHeight="1"/>
    <x:row r="784" ht="15.75" customHeight="1"/>
    <x:row r="785" ht="15.75" customHeight="1"/>
    <x:row r="786" ht="15.75" customHeight="1"/>
    <x:row r="787" ht="15.75" customHeight="1"/>
    <x:row r="788" ht="15.75" customHeight="1"/>
    <x:row r="789" ht="15.75" customHeight="1"/>
    <x:row r="790" ht="15.75" customHeight="1"/>
    <x:row r="791" ht="15.75" customHeight="1"/>
    <x:row r="792" ht="15.75" customHeight="1"/>
    <x:row r="793" ht="15.75" customHeight="1"/>
    <x:row r="794" ht="15.75" customHeight="1"/>
    <x:row r="795" ht="15.75" customHeight="1"/>
    <x:row r="796" ht="15.75" customHeight="1"/>
    <x:row r="797" ht="15.75" customHeight="1"/>
    <x:row r="798" ht="15.75" customHeight="1"/>
    <x:row r="799" ht="15.75" customHeight="1"/>
    <x:row r="800" ht="15.75" customHeight="1"/>
    <x:row r="801" ht="15.75" customHeight="1"/>
    <x:row r="802" ht="15.75" customHeight="1"/>
    <x:row r="803" ht="15.75" customHeight="1"/>
    <x:row r="804" ht="15.75" customHeight="1"/>
    <x:row r="805" ht="15.75" customHeight="1"/>
    <x:row r="806" ht="15.75" customHeight="1"/>
    <x:row r="807" ht="15.75" customHeight="1"/>
    <x:row r="808" ht="15.75" customHeight="1"/>
    <x:row r="809" ht="15.75" customHeight="1"/>
    <x:row r="810" ht="15.75" customHeight="1"/>
    <x:row r="811" ht="15.75" customHeight="1"/>
    <x:row r="812" ht="15.75" customHeight="1"/>
    <x:row r="813" ht="15.75" customHeight="1"/>
    <x:row r="814" ht="15.75" customHeight="1"/>
    <x:row r="815" ht="15.75" customHeight="1"/>
    <x:row r="816" ht="15.75" customHeight="1"/>
    <x:row r="817" ht="15.75" customHeight="1"/>
    <x:row r="818" ht="15.75" customHeight="1"/>
    <x:row r="819" ht="15.75" customHeight="1"/>
    <x:row r="820" ht="15.75" customHeight="1"/>
    <x:row r="821" ht="15.75" customHeight="1"/>
    <x:row r="822" ht="15.75" customHeight="1"/>
    <x:row r="823" ht="15.75" customHeight="1"/>
    <x:row r="824" ht="15.75" customHeight="1"/>
    <x:row r="825" ht="15.75" customHeight="1"/>
    <x:row r="826" ht="15.75" customHeight="1"/>
    <x:row r="827" ht="15.75" customHeight="1"/>
    <x:row r="828" ht="15.75" customHeight="1"/>
    <x:row r="829" ht="15.75" customHeight="1"/>
    <x:row r="830" ht="15.75" customHeight="1"/>
    <x:row r="831" ht="15.75" customHeight="1"/>
    <x:row r="832" ht="15.75" customHeight="1"/>
    <x:row r="833" ht="15.75" customHeight="1"/>
    <x:row r="834" ht="15.75" customHeight="1"/>
    <x:row r="835" ht="15.75" customHeight="1"/>
    <x:row r="836" ht="15.75" customHeight="1"/>
    <x:row r="837" ht="15.75" customHeight="1"/>
    <x:row r="838" ht="15.75" customHeight="1"/>
    <x:row r="839" ht="15.75" customHeight="1"/>
    <x:row r="840" ht="15.75" customHeight="1"/>
    <x:row r="841" ht="15.75" customHeight="1"/>
    <x:row r="842" ht="15.75" customHeight="1"/>
    <x:row r="843" ht="15.75" customHeight="1"/>
    <x:row r="844" ht="15.75" customHeight="1"/>
    <x:row r="845" ht="15.75" customHeight="1"/>
    <x:row r="846" ht="15.75" customHeight="1"/>
    <x:row r="847" ht="15.75" customHeight="1"/>
    <x:row r="848" ht="15.75" customHeight="1"/>
    <x:row r="849" ht="15.75" customHeight="1"/>
    <x:row r="850" ht="15.75" customHeight="1"/>
    <x:row r="851" ht="15.75" customHeight="1"/>
    <x:row r="852" ht="15.75" customHeight="1"/>
    <x:row r="853" ht="15.75" customHeight="1"/>
    <x:row r="854" ht="15.75" customHeight="1"/>
    <x:row r="855" ht="15.75" customHeight="1"/>
    <x:row r="856" ht="15.75" customHeight="1"/>
    <x:row r="857" ht="15.75" customHeight="1"/>
    <x:row r="858" ht="15.75" customHeight="1"/>
    <x:row r="859" ht="15.75" customHeight="1"/>
    <x:row r="860" ht="15.75" customHeight="1"/>
    <x:row r="861" ht="15.75" customHeight="1"/>
    <x:row r="862" ht="15.75" customHeight="1"/>
    <x:row r="863" ht="15.75" customHeight="1"/>
    <x:row r="864" ht="15.75" customHeight="1"/>
    <x:row r="865" ht="15.75" customHeight="1"/>
    <x:row r="866" ht="15.75" customHeight="1"/>
    <x:row r="867" ht="15.75" customHeight="1"/>
    <x:row r="868" ht="15.75" customHeight="1"/>
    <x:row r="869" ht="15.75" customHeight="1"/>
    <x:row r="870" ht="15.75" customHeight="1"/>
    <x:row r="871" ht="15.75" customHeight="1"/>
    <x:row r="872" ht="15.75" customHeight="1"/>
    <x:row r="873" ht="15.75" customHeight="1"/>
    <x:row r="874" ht="15.75" customHeight="1"/>
    <x:row r="875" ht="15.75" customHeight="1"/>
    <x:row r="876" ht="15.75" customHeight="1"/>
    <x:row r="877" ht="15.75" customHeight="1"/>
    <x:row r="878" ht="15.75" customHeight="1"/>
    <x:row r="879" ht="15.75" customHeight="1"/>
    <x:row r="880" ht="15.75" customHeight="1"/>
    <x:row r="881" ht="15.75" customHeight="1"/>
    <x:row r="882" ht="15.75" customHeight="1"/>
    <x:row r="883" ht="15.75" customHeight="1"/>
    <x:row r="884" ht="15.75" customHeight="1"/>
    <x:row r="885" ht="15.75" customHeight="1"/>
    <x:row r="886" ht="15.75" customHeight="1"/>
    <x:row r="887" ht="15.75" customHeight="1"/>
    <x:row r="888" ht="15.75" customHeight="1"/>
    <x:row r="889" ht="15.75" customHeight="1"/>
    <x:row r="890" ht="15.75" customHeight="1"/>
    <x:row r="891" ht="15.75" customHeight="1"/>
    <x:row r="892" ht="15.75" customHeight="1"/>
    <x:row r="893" ht="15.75" customHeight="1"/>
    <x:row r="894" ht="15.75" customHeight="1"/>
    <x:row r="895" ht="15.75" customHeight="1"/>
    <x:row r="896" ht="15.75" customHeight="1"/>
    <x:row r="897" ht="15.75" customHeight="1"/>
    <x:row r="898" ht="15.75" customHeight="1"/>
    <x:row r="899" ht="15.75" customHeight="1"/>
    <x:row r="900" ht="15.75" customHeight="1"/>
    <x:row r="901" ht="15.75" customHeight="1"/>
    <x:row r="902" ht="15.75" customHeight="1"/>
    <x:row r="903" ht="15.75" customHeight="1"/>
    <x:row r="904" ht="15.75" customHeight="1"/>
    <x:row r="905" ht="15.75" customHeight="1"/>
    <x:row r="906" ht="15.75" customHeight="1"/>
    <x:row r="907" ht="15.75" customHeight="1"/>
    <x:row r="908" ht="15.75" customHeight="1"/>
    <x:row r="909" ht="15.75" customHeight="1"/>
    <x:row r="910" ht="15.75" customHeight="1"/>
    <x:row r="911" ht="15.75" customHeight="1"/>
    <x:row r="912" ht="15.75" customHeight="1"/>
    <x:row r="913" ht="15.75" customHeight="1"/>
    <x:row r="914" ht="15.75" customHeight="1"/>
    <x:row r="915" ht="15.75" customHeight="1"/>
    <x:row r="916" ht="15.75" customHeight="1"/>
    <x:row r="917" ht="15.75" customHeight="1"/>
    <x:row r="918" ht="15.75" customHeight="1"/>
    <x:row r="919" ht="15.75" customHeight="1"/>
    <x:row r="920" ht="15.75" customHeight="1"/>
    <x:row r="921" ht="15.75" customHeight="1"/>
    <x:row r="922" ht="15.75" customHeight="1"/>
    <x:row r="923" ht="15.75" customHeight="1"/>
    <x:row r="924" ht="15.75" customHeight="1"/>
    <x:row r="925" ht="15.75" customHeight="1"/>
    <x:row r="926" ht="15.75" customHeight="1"/>
    <x:row r="927" ht="15.75" customHeight="1"/>
    <x:row r="928" ht="15.75" customHeight="1"/>
    <x:row r="929" ht="15.75" customHeight="1"/>
    <x:row r="930" ht="15.75" customHeight="1"/>
    <x:row r="931" ht="15.75" customHeight="1"/>
    <x:row r="932" ht="15.75" customHeight="1"/>
    <x:row r="933" ht="15.75" customHeight="1"/>
    <x:row r="934" ht="15.75" customHeight="1"/>
    <x:row r="935" ht="15.75" customHeight="1"/>
    <x:row r="936" ht="15.75" customHeight="1"/>
    <x:row r="937" ht="15.75" customHeight="1"/>
    <x:row r="938" ht="15.75" customHeight="1"/>
    <x:row r="939" ht="15.75" customHeight="1"/>
    <x:row r="940" ht="15.75" customHeight="1"/>
    <x:row r="941" ht="15.75" customHeight="1"/>
    <x:row r="942" ht="15.75" customHeight="1"/>
    <x:row r="943" ht="15.75" customHeight="1"/>
    <x:row r="944" ht="15.75" customHeight="1"/>
    <x:row r="945" ht="15.75" customHeight="1"/>
    <x:row r="946" ht="15.75" customHeight="1"/>
    <x:row r="947" ht="15.75" customHeight="1"/>
    <x:row r="948" ht="15.75" customHeight="1"/>
    <x:row r="949" ht="15.75" customHeight="1"/>
    <x:row r="950" ht="15.75" customHeight="1"/>
    <x:row r="951" ht="15.75" customHeight="1"/>
    <x:row r="952" ht="15.75" customHeight="1"/>
    <x:row r="953" ht="15.75" customHeight="1"/>
    <x:row r="954" ht="15.75" customHeight="1"/>
    <x:row r="955" ht="15.75" customHeight="1"/>
    <x:row r="956" ht="15.75" customHeight="1"/>
    <x:row r="957" ht="15.75" customHeight="1"/>
    <x:row r="958" ht="15.75" customHeight="1"/>
    <x:row r="959" ht="15.75" customHeight="1"/>
    <x:row r="960" ht="15.75" customHeight="1"/>
    <x:row r="961" ht="15.75" customHeight="1"/>
    <x:row r="962" ht="15.75" customHeight="1"/>
    <x:row r="963" ht="15.75" customHeight="1"/>
    <x:row r="964" ht="15.75" customHeight="1"/>
    <x:row r="965" ht="15.75" customHeight="1"/>
    <x:row r="966" ht="15.75" customHeight="1"/>
    <x:row r="967" ht="15.75" customHeight="1"/>
    <x:row r="968" ht="15.75" customHeight="1"/>
    <x:row r="969" ht="15.75" customHeight="1"/>
    <x:row r="970" ht="15.75" customHeight="1"/>
    <x:row r="971" ht="15.75" customHeight="1"/>
    <x:row r="972" ht="15.75" customHeight="1"/>
    <x:row r="973" ht="15.75" customHeight="1"/>
    <x:row r="974" ht="15.75" customHeight="1"/>
    <x:row r="975" ht="15.75" customHeight="1"/>
    <x:row r="976" ht="15.75" customHeight="1"/>
    <x:row r="977" ht="15.75" customHeight="1"/>
    <x:row r="978" ht="15.75" customHeight="1"/>
    <x:row r="979" ht="15.75" customHeight="1"/>
    <x:row r="980" ht="15.75" customHeight="1"/>
    <x:row r="981" ht="15.75" customHeight="1"/>
    <x:row r="982" ht="15.75" customHeight="1"/>
    <x:row r="983" ht="15.75" customHeight="1"/>
    <x:row r="984" ht="15.75" customHeight="1"/>
    <x:row r="985" ht="15.75" customHeight="1"/>
    <x:row r="986" ht="15.75" customHeight="1"/>
    <x:row r="987" ht="15.75" customHeight="1"/>
    <x:row r="988" ht="15.75" customHeight="1"/>
    <x:row r="989" ht="15.75" customHeight="1"/>
    <x:row r="990" ht="15.75" customHeight="1"/>
    <x:row r="991" ht="15.75" customHeight="1"/>
    <x:row r="992" ht="15.75" customHeight="1"/>
    <x:row r="993" ht="15.75" customHeight="1"/>
    <x:row r="994" ht="15.75" customHeight="1"/>
    <x:row r="995" ht="15.75" customHeight="1"/>
    <x:row r="996" ht="15.75" customHeight="1"/>
    <x:row r="997" ht="15.75" customHeight="1"/>
    <x:row r="998" ht="15.75" customHeight="1"/>
    <x:row r="999" ht="15.75" customHeight="1"/>
    <x:row r="1000" ht="15.75" customHeight="1"/>
  </x:sheetData>
  <x:mergeCells>
    <x:mergeCell ref="B39:C39"/>
    <x:mergeCell ref="B40:C40"/>
    <x:mergeCell ref="B41:C41"/>
    <x:mergeCell ref="B42:C42"/>
    <x:mergeCell ref="B17:C17"/>
    <x:mergeCell ref="B24:C24"/>
  </x:mergeCells>
  <x:dataValidations count="1">
    <x:dataValidation type="list" allowBlank="1" sqref="B7">
      <x:formula1>"Prosumer,SMB,Mid,Enterprise"</x:formula1>
    </x:dataValidation>
  </x:dataValidation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ColWidth="14.430000305175781" defaultRowHeight="15"/>
  <x:cols>
    <x:col min="1" max="1" width="35" hidden="0" customWidth="1"/>
    <x:col min="2" max="4" width="34" customWidth="1"/>
    <x:col min="5" max="8" width="15" customWidth="1"/>
    <x:col min="9" max="26" width="8.710000038146973" customWidth="1"/>
    <x:col min="2" max="2" width="39" hidden="0" customWidth="1"/>
    <x:col min="3" max="3" width="39" hidden="0" customWidth="1"/>
    <x:col min="4" max="4" width="39" hidden="0" customWidth="1"/>
  </x:cols>
  <x:sheetData>
    <x:row r="1" ht="24" customHeight="1">
      <x:c r="A1" s="1" t="s">
        <x:v>210</x:v>
      </x:c>
      <x:c r="B1" s="2"/>
      <x:c r="C1" s="2"/>
      <x:c r="D1" s="2"/>
      <x:c r="E1" s="2"/>
      <x:c r="F1" s="2"/>
      <x:c r="G1" s="2"/>
      <x:c r="H1" s="2"/>
    </x:row>
    <x:row r="2">
      <x:c r="A2" s="3" t="s">
        <x:v>211</x:v>
      </x:c>
    </x:row>
    <x:row r="4">
      <x:c r="A4" s="7" t="s">
        <x:v>212</x:v>
      </x:c>
      <x:c r="B4" s="10"/>
      <x:c r="C4" s="10"/>
      <x:c r="D4" s="10"/>
      <x:c r="E4" s="10"/>
      <x:c r="F4" s="10"/>
      <x:c r="G4" s="10"/>
      <x:c r="H4" s="10"/>
    </x:row>
    <x:row r="5" ht="44" customHeight="1">
      <x:c r="A5" s="6" t="s">
        <x:v>213</x:v>
      </x:c>
      <x:c r="B5" s="46" t="str">
        <x:v>Giả thuyết 22:30 sau buổi học online; cần xác minh bằng phỏng vấn.</x:v>
      </x:c>
    </x:row>
    <x:row r="6" ht="44" customHeight="1">
      <x:c r="A6" s="6" t="s">
        <x:v>214</x:v>
      </x:c>
      <x:c r="B6" s="46" t="str">
        <x:v>Người học gom highlight và link, sắp xếp note để tra lại, ngại copy qua nhiều tab.</x:v>
      </x:c>
    </x:row>
    <x:row r="7" ht="44" customHeight="1">
      <x:c r="A7" s="6" t="s">
        <x:v>215</x:v>
      </x:c>
      <x:c r="B7" s="46" t="str">
        <x:v>Chrome đang mở trang bài học/tài liệu. VLearn là nguồn nếu người học dùng, chưa có partner.</x:v>
      </x:c>
    </x:row>
    <x:row r="8" ht="44" customHeight="1">
      <x:c r="A8" s="6" t="s">
        <x:v>216</x:v>
      </x:c>
      <x:c r="B8" s="46" t="str">
        <x:v>Đề xuất Chrome context-menu “Lưu dấu vết” + sidePanel AI Notes. Chưa triển khai.</x:v>
      </x:c>
      <x:c r="D8" s="3" t="s">
        <x:v>217</x:v>
      </x:c>
    </x:row>
    <x:row r="10">
      <x:c r="A10" s="7" t="s">
        <x:v>218</x:v>
      </x:c>
      <x:c r="B10" s="10"/>
      <x:c r="C10" s="10"/>
      <x:c r="D10" s="10"/>
      <x:c r="E10" s="10"/>
      <x:c r="F10" s="10"/>
      <x:c r="G10" s="10"/>
      <x:c r="H10" s="10"/>
    </x:row>
    <x:row r="11">
      <x:c r="A11" s="27"/>
      <x:c r="B11" s="27" t="s">
        <x:v>219</x:v>
      </x:c>
      <x:c r="C11" s="27" t="s">
        <x:v>220</x:v>
      </x:c>
      <x:c r="D11" s="27" t="s">
        <x:v>221</x:v>
      </x:c>
    </x:row>
    <x:row r="12" ht="42" customHeight="1">
      <x:c r="A12" s="6" t="s">
        <x:v>222</x:v>
      </x:c>
      <x:c r="B12" s="53" t="str">
        <x:v>PLG; 12/10–10/11/2026</x:v>
      </x:c>
      <x:c r="C12" s="53" t="str">
        <x:v>PLG; 11/11/2026–09/01/2027</x:v>
      </x:c>
      <x:c r="D12" s="53" t="str">
        <x:v>PLG; từ 10/01/2027, chỉ nếu qua gate</x:v>
      </x:c>
    </x:row>
    <x:row r="13" ht="28" customHeight="1">
      <x:c r="A13" s="6" t="s">
        <x:v>223</x:v>
      </x:c>
      <x:c r="B13" s="53" t="n">
        <x:v>10</x:v>
      </x:c>
      <x:c r="C13" s="53" t="n">
        <x:v>70</x:v>
      </x:c>
      <x:c r="D13" s="53" t="n">
        <x:v>100</x:v>
      </x:c>
    </x:row>
    <x:row r="14" ht="96" customHeight="1">
      <x:c r="A14" s="6" t="s">
        <x:v>224</x:v>
      </x:c>
      <x:c r="B14" s="53" t="str">
        <x:v>Tuyển 10 learner đồng ý, gồm tester cũ nếu họ nhận lời; phỏng vấn pain và tự ghi note đối chứng.</x:v>
      </x:c>
      <x:c r="C14" s="53" t="str">
        <x:v>Mở self-service side panel cho đúng ngách learner AI có ≥3 phiên học/tuần; mục tiêu 70 paid cuối kỳ.</x:v>
      </x:c>
      <x:c r="D14" s="53" t="str">
        <x:v>Thử cùng workflow trên tài liệu nghề nghiệp; tối đa 100 paid nếu giữ chất lượng và retention.</x:v>
      </x:c>
    </x:row>
    <x:row r="15" ht="96" customHeight="1">
      <x:c r="A15" s="6" t="s">
        <x:v>225</x:v>
      </x:c>
      <x:c r="B15" s="53" t="str">
        <x:v>Eval 50 ca held-out trước 26/10. Pilot 27/10–09/11, tối đa 120 lượt thử; báo cáo 12/11.</x:v>
      </x:c>
      <x:c r="C15" s="53" t="str">
        <x:v>Ngân sách acquisition $840 gồm $420 cash + 52,5h công. Đây là budget, không phải chi tiêu thực tế.</x:v>
      </x:c>
      <x:c r="D15" s="53" t="str">
        <x:v>Chỉ tăng budget khi CAC≤$12, R≥70%, GM≥60% và retention28d≥40% qua hai cohort.</x:v>
      </x:c>
    </x:row>
    <x:row r="16" ht="96" customHeight="1">
      <x:c r="A16" s="6" t="s">
        <x:v>226</x:v>
      </x:c>
      <x:c r="B16" s="53" t="str">
        <x:v>Q&amp;A 23/10; thêm log note_id, token, retry và thời gian duyệt; kiểm rule quota trước mở paid.</x:v>
      </x:c>
      <x:c r="C16" s="53" t="str">
        <x:v>Test trả thật $8. Nếu paid&lt;10 hoặc CAC&gt;$12 sau 30 ngày mở paid: dừng ads, phỏng vấn lại.</x:v>
      </x:c>
      <x:c r="D16" s="53" t="str">
        <x:v>Nếu gate chưa qua: giữ 1 ngách, sửa pain/value; không tự mở sales hoặc partner.</x:v>
      </x:c>
    </x:row>
    <x:row r="17" ht="96" customHeight="1">
      <x:c r="A17" s="6" t="s">
        <x:v>227</x:v>
      </x:c>
      <x:c r="B17" s="53" t="str">
        <x:v>Mục tiêu 50 eval; ≥70% draft grounded; 10 pilot; 100% billing đúng note_id. Chưa đạt thực tế.</x:v>
      </x:c>
      <x:c r="C17" s="53" t="str">
        <x:v>Mục tiêu 70 paid; R≥70%; CAC≤$12; retention28d≥40%. Tách paid, free và draft.</x:v>
      </x:c>
      <x:c r="D17" s="53" t="str">
        <x:v>100 paid là mục tiêu có điều kiện. Hai cohort liên tiếp giữ các gate cột C.</x:v>
      </x:c>
    </x:row>
    <x:row r="18" ht="30" customHeight="1">
      <x:c r="A18" s="6" t="s">
        <x:v>228</x:v>
      </x:c>
      <x:c r="B18" s="53" t="str">
        <x:v>Trần Vũ Gia Huy</x:v>
      </x:c>
      <x:c r="C18" s="53" t="str">
        <x:v>Trần Vũ Gia Huy</x:v>
      </x:c>
      <x:c r="D18" s="53" t="str">
        <x:v>Trần Vũ Gia Huy</x:v>
      </x:c>
    </x:row>
    <x:row r="19">
      <x:c r="A19" s="3" t="s">
        <x:v>229</x:v>
      </x:c>
    </x:row>
    <x:row r="21" ht="15.75" customHeight="1">
      <x:c r="A21" s="7" t="s">
        <x:v>230</x:v>
      </x:c>
      <x:c r="B21" s="10"/>
      <x:c r="C21" s="10"/>
      <x:c r="D21" s="10"/>
      <x:c r="E21" s="10"/>
      <x:c r="F21" s="10"/>
      <x:c r="G21" s="10"/>
      <x:c r="H21" s="10"/>
    </x:row>
    <x:row r="22" ht="15.75" customHeight="1">
      <x:c r="A22" s="27" t="s">
        <x:v>231</x:v>
      </x:c>
      <x:c r="B22" s="27" t="s">
        <x:v>232</x:v>
      </x:c>
      <x:c r="C22" s="27" t="s">
        <x:v>233</x:v>
      </x:c>
      <x:c r="D22" s="27" t="s">
        <x:v>234</x:v>
      </x:c>
    </x:row>
    <x:row r="23" ht="92" customHeight="1">
      <x:c r="A23" s="14" t="s">
        <x:v>235</x:v>
      </x:c>
      <x:c r="B23" s="53" t="str">
        <x:v>Chưa</x:v>
      </x:c>
      <x:c r="C23" s="53" t="str">
        <x:v>50 ca held-out; đo groundedness, nguồn, schema, từ chối và injection. R70% hiện chỉ là giả định.</x:v>
      </x:c>
      <x:c r="D23" s="53" t="str">
        <x:v>Trần Vũ Gia Huy · 26/10/2026</x:v>
      </x:c>
    </x:row>
    <x:row r="24" ht="92" customHeight="1">
      <x:c r="A24" s="14" t="str">
        <x:v>2. Procurement Q&amp;A</x:v>
      </x:c>
      <x:c r="B24" s="53" t="str">
        <x:v>Chưa</x:v>
      </x:c>
      <x:c r="C24" s="53" t="str">
        <x:v>Đã soạn câu hỏi/chính sách đề xuất; cần chứng cứ hallucination, training/retention, export và xóa dữ liệu.</x:v>
      </x:c>
      <x:c r="D24" s="53" t="str">
        <x:v>Trần Vũ Gia Huy · 23/10/2026</x:v>
      </x:c>
    </x:row>
    <x:row r="25" ht="92" customHeight="1">
      <x:c r="A25" s="6" t="s">
        <x:v>236</x:v>
      </x:c>
      <x:c r="B25" s="53" t="str">
        <x:v>Chưa</x:v>
      </x:c>
      <x:c r="C25" s="53" t="str">
        <x:v>Pilot dự kiến 10 learner, 27/10–09/11, ≤120 attempts. Không có số tiết kiệm/paid thật.</x:v>
      </x:c>
      <x:c r="D25" s="53" t="str">
        <x:v>Trần Vũ Gia Huy · 12/11/2026</x:v>
      </x:c>
    </x:row>
    <x:row r="26" ht="15.75" customHeight="1">
      <x:c r="A26" s="3" t="s">
        <x:v>237</x:v>
      </x:c>
    </x:row>
    <x:row r="27" ht="15.75" customHeight="1"/>
    <x:row r="28" ht="15.75" customHeight="1">
      <x:c r="A28" s="7" t="s">
        <x:v>238</x:v>
      </x:c>
      <x:c r="B28" s="10"/>
      <x:c r="C28" s="10"/>
      <x:c r="D28" s="10"/>
      <x:c r="E28" s="10"/>
      <x:c r="F28" s="10"/>
      <x:c r="G28" s="10"/>
      <x:c r="H28" s="10"/>
    </x:row>
    <x:row r="29" ht="60" customHeight="1">
      <x:c r="A29" s="82" t="s">
        <x:v>239</x:v>
      </x:c>
      <x:c r="B29" s="46" t="str">
        <x:v>Chưa kiểm tra với người thật</x:v>
      </x:c>
    </x:row>
    <x:row r="30" ht="60" customHeight="1">
      <x:c r="A30" s="82" t="s">
        <x:v>240</x:v>
      </x:c>
      <x:c r="B30" s="46" t="str">
        <x:v>Chưa kiểm tra với người thật</x:v>
      </x:c>
    </x:row>
    <x:row r="31" ht="60" customHeight="1">
      <x:c r="A31" s="82" t="s">
        <x:v>241</x:v>
      </x:c>
      <x:c r="B31" s="46" t="str">
        <x:v>Chưa kiểm tra với người thật</x:v>
      </x:c>
    </x:row>
    <x:row r="32" ht="44" customHeight="1">
      <x:c r="A32" s="6" t="s">
        <x:v>242</x:v>
      </x:c>
      <x:c r="B32" s="46" t="str">
        <x:v>Chưa đo</x:v>
      </x:c>
    </x:row>
    <x:row r="33" ht="15.75" customHeight="1"/>
    <x:row r="34" ht="44" customHeight="1">
      <x:c r="A34" t="str">
        <x:v>Quy mô tài chính baseline</x:v>
      </x:c>
      <x:c r="B34" s="45" t="str">
        <x:v>70 paid × 12 note = 840 completed từ 1.200 attempts; đây là giả định scale, không phải kết quả tháng 1.</x:v>
      </x:c>
    </x:row>
    <x:row r="35" ht="44" customHeight="1">
      <x:c r="A35" t="str">
        <x:v>Deadline stranger test</x:v>
      </x:c>
      <x:c r="B35" s="45" t="str">
        <x:v>Trần Vũ Gia Huy · 15/10/2026; ghi số câu hỏi thật và sửa One-Pager khi có phản hồi.</x:v>
      </x:c>
    </x:row>
    <x:row r="36" ht="15.75" customHeight="1"/>
    <x:row r="37" ht="15.75" customHeight="1"/>
    <x:row r="38" ht="15.75" customHeight="1"/>
    <x:row r="39" ht="15.75" customHeight="1"/>
    <x:row r="40" ht="15.75" customHeight="1"/>
    <x:row r="41" ht="15.75" customHeight="1"/>
    <x:row r="42" ht="15.75" customHeight="1"/>
    <x:row r="43" ht="15.75" customHeight="1"/>
    <x:row r="44" ht="15.75" customHeight="1"/>
    <x:row r="45" ht="15.75" customHeight="1"/>
    <x:row r="46" ht="15.75" customHeight="1"/>
    <x:row r="47" ht="15.75" customHeight="1"/>
    <x:row r="48" ht="15.75" customHeight="1"/>
    <x:row r="49" ht="15.75" customHeight="1"/>
    <x:row r="50" ht="15.75" customHeight="1"/>
    <x:row r="51" ht="15.75" customHeight="1"/>
    <x:row r="52" ht="15.75" customHeight="1"/>
    <x:row r="53" ht="15.75" customHeight="1"/>
    <x:row r="54" ht="15.75" customHeight="1"/>
    <x:row r="55" ht="15.75" customHeight="1"/>
    <x:row r="56" ht="15.75" customHeight="1"/>
    <x:row r="57" ht="15.75" customHeight="1"/>
    <x:row r="58" ht="15.75" customHeight="1"/>
    <x:row r="59" ht="15.75" customHeight="1"/>
    <x:row r="60" ht="15.75" customHeight="1"/>
    <x:row r="61" ht="15.75" customHeight="1"/>
    <x:row r="62" ht="15.75" customHeight="1"/>
    <x:row r="63" ht="15.75" customHeight="1"/>
    <x:row r="64" ht="15.75" customHeight="1"/>
    <x:row r="65" ht="15.75" customHeight="1"/>
    <x:row r="66" ht="15.75" customHeight="1"/>
    <x:row r="67" ht="15.75" customHeight="1"/>
    <x:row r="68" ht="15.75" customHeight="1"/>
    <x:row r="69" ht="15.75" customHeight="1"/>
    <x:row r="70" ht="15.75" customHeight="1"/>
    <x:row r="71" ht="15.75" customHeight="1"/>
    <x:row r="72" ht="15.75" customHeight="1"/>
    <x:row r="73" ht="15.75" customHeight="1"/>
    <x:row r="74" ht="15.75" customHeight="1"/>
    <x:row r="75" ht="15.75" customHeight="1"/>
    <x:row r="76" ht="15.75" customHeight="1"/>
    <x:row r="77" ht="15.75" customHeight="1"/>
    <x:row r="78" ht="15.75" customHeight="1"/>
    <x:row r="79" ht="15.75" customHeight="1"/>
    <x:row r="80" ht="15.75" customHeight="1"/>
    <x:row r="81" ht="15.75" customHeight="1"/>
    <x:row r="82" ht="15.75" customHeight="1"/>
    <x:row r="83" ht="15.75" customHeight="1"/>
    <x:row r="84" ht="15.75" customHeight="1"/>
    <x:row r="85" ht="15.75" customHeight="1"/>
    <x:row r="86" ht="15.75" customHeight="1"/>
    <x:row r="87" ht="15.75" customHeight="1"/>
    <x:row r="88" ht="15.75" customHeight="1"/>
    <x:row r="89" ht="15.75" customHeight="1"/>
    <x:row r="90" ht="15.75" customHeight="1"/>
    <x:row r="91" ht="15.75" customHeight="1"/>
    <x:row r="92" ht="15.75" customHeight="1"/>
    <x:row r="93" ht="15.75" customHeight="1"/>
    <x:row r="94" ht="15.75" customHeight="1"/>
    <x:row r="95" ht="15.75" customHeight="1"/>
    <x:row r="96" ht="15.75" customHeight="1"/>
    <x:row r="97" ht="15.75" customHeight="1"/>
    <x:row r="98" ht="15.75" customHeight="1"/>
    <x:row r="99" ht="15.75" customHeight="1"/>
    <x:row r="100" ht="15.75" customHeight="1"/>
    <x:row r="101" ht="15.75" customHeight="1"/>
    <x:row r="102" ht="15.75" customHeight="1"/>
    <x:row r="103" ht="15.75" customHeight="1"/>
    <x:row r="104" ht="15.75" customHeight="1"/>
    <x:row r="105" ht="15.75" customHeight="1"/>
    <x:row r="106" ht="15.75" customHeight="1"/>
    <x:row r="107" ht="15.75" customHeight="1"/>
    <x:row r="108" ht="15.75" customHeight="1"/>
    <x:row r="109" ht="15.75" customHeight="1"/>
    <x:row r="110" ht="15.75" customHeight="1"/>
    <x:row r="111" ht="15.75" customHeight="1"/>
    <x:row r="112" ht="15.75" customHeight="1"/>
    <x:row r="113" ht="15.75" customHeight="1"/>
    <x:row r="114" ht="15.75" customHeight="1"/>
    <x:row r="115" ht="15.75" customHeight="1"/>
    <x:row r="116" ht="15.75" customHeight="1"/>
    <x:row r="117" ht="15.75" customHeight="1"/>
    <x:row r="118" ht="15.75" customHeight="1"/>
    <x:row r="119" ht="15.75" customHeight="1"/>
    <x:row r="120" ht="15.75" customHeight="1"/>
    <x:row r="121" ht="15.75" customHeight="1"/>
    <x:row r="122" ht="15.75" customHeight="1"/>
    <x:row r="123" ht="15.75" customHeight="1"/>
    <x:row r="124" ht="15.75" customHeight="1"/>
    <x:row r="125" ht="15.75" customHeight="1"/>
    <x:row r="126" ht="15.75" customHeight="1"/>
    <x:row r="127" ht="15.75" customHeight="1"/>
    <x:row r="128" ht="15.75" customHeight="1"/>
    <x:row r="129" ht="15.75" customHeight="1"/>
    <x:row r="130" ht="15.75" customHeight="1"/>
    <x:row r="131" ht="15.75" customHeight="1"/>
    <x:row r="132" ht="15.75" customHeight="1"/>
    <x:row r="133" ht="15.75" customHeight="1"/>
    <x:row r="134" ht="15.75" customHeight="1"/>
    <x:row r="135" ht="15.75" customHeight="1"/>
    <x:row r="136" ht="15.75" customHeight="1"/>
    <x:row r="137" ht="15.75" customHeight="1"/>
    <x:row r="138" ht="15.75" customHeight="1"/>
    <x:row r="139" ht="15.75" customHeight="1"/>
    <x:row r="140" ht="15.75" customHeight="1"/>
    <x:row r="141" ht="15.75" customHeight="1"/>
    <x:row r="142" ht="15.75" customHeight="1"/>
    <x:row r="143" ht="15.75" customHeight="1"/>
    <x:row r="144" ht="15.75" customHeight="1"/>
    <x:row r="145" ht="15.75" customHeight="1"/>
    <x:row r="146" ht="15.75" customHeight="1"/>
    <x:row r="147" ht="15.75" customHeight="1"/>
    <x:row r="148" ht="15.75" customHeight="1"/>
    <x:row r="149" ht="15.75" customHeight="1"/>
    <x:row r="150" ht="15.75" customHeight="1"/>
    <x:row r="151" ht="15.75" customHeight="1"/>
    <x:row r="152" ht="15.75" customHeight="1"/>
    <x:row r="153" ht="15.75" customHeight="1"/>
    <x:row r="154" ht="15.75" customHeight="1"/>
    <x:row r="155" ht="15.75" customHeight="1"/>
    <x:row r="156" ht="15.75" customHeight="1"/>
    <x:row r="157" ht="15.75" customHeight="1"/>
    <x:row r="158" ht="15.75" customHeight="1"/>
    <x:row r="159" ht="15.75" customHeight="1"/>
    <x:row r="160" ht="15.75" customHeight="1"/>
    <x:row r="161" ht="15.75" customHeight="1"/>
    <x:row r="162" ht="15.75" customHeight="1"/>
    <x:row r="163" ht="15.75" customHeight="1"/>
    <x:row r="164" ht="15.75" customHeight="1"/>
    <x:row r="165" ht="15.75" customHeight="1"/>
    <x:row r="166" ht="15.75" customHeight="1"/>
    <x:row r="167" ht="15.75" customHeight="1"/>
    <x:row r="168" ht="15.75" customHeight="1"/>
    <x:row r="169" ht="15.75" customHeight="1"/>
    <x:row r="170" ht="15.75" customHeight="1"/>
    <x:row r="171" ht="15.75" customHeight="1"/>
    <x:row r="172" ht="15.75" customHeight="1"/>
    <x:row r="173" ht="15.75" customHeight="1"/>
    <x:row r="174" ht="15.75" customHeight="1"/>
    <x:row r="175" ht="15.75" customHeight="1"/>
    <x:row r="176" ht="15.75" customHeight="1"/>
    <x:row r="177" ht="15.75" customHeight="1"/>
    <x:row r="178" ht="15.75" customHeight="1"/>
    <x:row r="179" ht="15.75" customHeight="1"/>
    <x:row r="180" ht="15.75" customHeight="1"/>
    <x:row r="181" ht="15.75" customHeight="1"/>
    <x:row r="182" ht="15.75" customHeight="1"/>
    <x:row r="183" ht="15.75" customHeight="1"/>
    <x:row r="184" ht="15.75" customHeight="1"/>
    <x:row r="185" ht="15.75" customHeight="1"/>
    <x:row r="186" ht="15.75" customHeight="1"/>
    <x:row r="187" ht="15.75" customHeight="1"/>
    <x:row r="188" ht="15.75" customHeight="1"/>
    <x:row r="189" ht="15.75" customHeight="1"/>
    <x:row r="190" ht="15.75" customHeight="1"/>
    <x:row r="191" ht="15.75" customHeight="1"/>
    <x:row r="192" ht="15.75" customHeight="1"/>
    <x:row r="193" ht="15.75" customHeight="1"/>
    <x:row r="194" ht="15.75" customHeight="1"/>
    <x:row r="195" ht="15.75" customHeight="1"/>
    <x:row r="196" ht="15.75" customHeight="1"/>
    <x:row r="197" ht="15.75" customHeight="1"/>
    <x:row r="198" ht="15.75" customHeight="1"/>
    <x:row r="199" ht="15.75" customHeight="1"/>
    <x:row r="200" ht="15.75" customHeight="1"/>
    <x:row r="201" ht="15.75" customHeight="1"/>
    <x:row r="202" ht="15.75" customHeight="1"/>
    <x:row r="203" ht="15.75" customHeight="1"/>
    <x:row r="204" ht="15.75" customHeight="1"/>
    <x:row r="205" ht="15.75" customHeight="1"/>
    <x:row r="206" ht="15.75" customHeight="1"/>
    <x:row r="207" ht="15.75" customHeight="1"/>
    <x:row r="208" ht="15.75" customHeight="1"/>
    <x:row r="209" ht="15.75" customHeight="1"/>
    <x:row r="210" ht="15.75" customHeight="1"/>
    <x:row r="211" ht="15.75" customHeight="1"/>
    <x:row r="212" ht="15.75" customHeight="1"/>
    <x:row r="213" ht="15.75" customHeight="1"/>
    <x:row r="214" ht="15.75" customHeight="1"/>
    <x:row r="215" ht="15.75" customHeight="1"/>
    <x:row r="216" ht="15.75" customHeight="1"/>
    <x:row r="217" ht="15.75" customHeight="1"/>
    <x:row r="218" ht="15.75" customHeight="1"/>
    <x:row r="219" ht="15.75" customHeight="1"/>
    <x:row r="220" ht="15.75" customHeight="1"/>
    <x:row r="221" ht="15.75" customHeight="1"/>
    <x:row r="222" ht="15.75" customHeight="1"/>
    <x:row r="223" ht="15.75" customHeight="1"/>
    <x:row r="224" ht="15.75" customHeight="1"/>
    <x:row r="225" ht="15.75" customHeight="1"/>
    <x:row r="226" ht="15.75" customHeight="1"/>
    <x:row r="227" ht="15.75" customHeight="1"/>
    <x:row r="228" ht="15.75" customHeight="1"/>
    <x:row r="229" ht="15.75" customHeight="1"/>
    <x:row r="230" ht="15.75" customHeight="1"/>
    <x:row r="231" ht="15.75" customHeight="1"/>
    <x:row r="232" ht="15.75" customHeight="1"/>
    <x:row r="233" ht="15.75" customHeight="1"/>
    <x:row r="234" ht="15.75" customHeight="1"/>
    <x:row r="235" ht="15.75" customHeight="1"/>
    <x:row r="236" ht="15.75" customHeight="1"/>
    <x:row r="237" ht="15.75" customHeight="1"/>
    <x:row r="238" ht="15.75" customHeight="1"/>
    <x:row r="239" ht="15.75" customHeight="1"/>
    <x:row r="240" ht="15.75" customHeight="1"/>
    <x:row r="241" ht="15.75" customHeight="1"/>
    <x:row r="242" ht="15.75" customHeight="1"/>
    <x:row r="243" ht="15.75" customHeight="1"/>
    <x:row r="244" ht="15.75" customHeight="1"/>
    <x:row r="245" ht="15.75" customHeight="1"/>
    <x:row r="246" ht="15.75" customHeight="1"/>
    <x:row r="247" ht="15.75" customHeight="1"/>
    <x:row r="248" ht="15.75" customHeight="1"/>
    <x:row r="249" ht="15.75" customHeight="1"/>
    <x:row r="250" ht="15.75" customHeight="1"/>
    <x:row r="251" ht="15.75" customHeight="1"/>
    <x:row r="252" ht="15.75" customHeight="1"/>
    <x:row r="253" ht="15.75" customHeight="1"/>
    <x:row r="254" ht="15.75" customHeight="1"/>
    <x:row r="255" ht="15.75" customHeight="1"/>
    <x:row r="256" ht="15.75" customHeight="1"/>
    <x:row r="257" ht="15.75" customHeight="1"/>
    <x:row r="258" ht="15.75" customHeight="1"/>
    <x:row r="259" ht="15.75" customHeight="1"/>
    <x:row r="260" ht="15.75" customHeight="1"/>
    <x:row r="261" ht="15.75" customHeight="1"/>
    <x:row r="262" ht="15.75" customHeight="1"/>
    <x:row r="263" ht="15.75" customHeight="1"/>
    <x:row r="264" ht="15.75" customHeight="1"/>
    <x:row r="265" ht="15.75" customHeight="1"/>
    <x:row r="266" ht="15.75" customHeight="1"/>
    <x:row r="267" ht="15.75" customHeight="1"/>
    <x:row r="268" ht="15.75" customHeight="1"/>
    <x:row r="269" ht="15.75" customHeight="1"/>
    <x:row r="270" ht="15.75" customHeight="1"/>
    <x:row r="271" ht="15.75" customHeight="1"/>
    <x:row r="272" ht="15.75" customHeight="1"/>
    <x:row r="273" ht="15.75" customHeight="1"/>
    <x:row r="274" ht="15.75" customHeight="1"/>
    <x:row r="275" ht="15.75" customHeight="1"/>
    <x:row r="276" ht="15.75" customHeight="1"/>
    <x:row r="277" ht="15.75" customHeight="1"/>
    <x:row r="278" ht="15.75" customHeight="1"/>
    <x:row r="279" ht="15.75" customHeight="1"/>
    <x:row r="280" ht="15.75" customHeight="1"/>
    <x:row r="281" ht="15.75" customHeight="1"/>
    <x:row r="282" ht="15.75" customHeight="1"/>
    <x:row r="283" ht="15.75" customHeight="1"/>
    <x:row r="284" ht="15.75" customHeight="1"/>
    <x:row r="285" ht="15.75" customHeight="1"/>
    <x:row r="286" ht="15.75" customHeight="1"/>
    <x:row r="287" ht="15.75" customHeight="1"/>
    <x:row r="288" ht="15.75" customHeight="1"/>
    <x:row r="289" ht="15.75" customHeight="1"/>
    <x:row r="290" ht="15.75" customHeight="1"/>
    <x:row r="291" ht="15.75" customHeight="1"/>
    <x:row r="292" ht="15.75" customHeight="1"/>
    <x:row r="293" ht="15.75" customHeight="1"/>
    <x:row r="294" ht="15.75" customHeight="1"/>
    <x:row r="295" ht="15.75" customHeight="1"/>
    <x:row r="296" ht="15.75" customHeight="1"/>
    <x:row r="297" ht="15.75" customHeight="1"/>
    <x:row r="298" ht="15.75" customHeight="1"/>
    <x:row r="299" ht="15.75" customHeight="1"/>
    <x:row r="300" ht="15.75" customHeight="1"/>
    <x:row r="301" ht="15.75" customHeight="1"/>
    <x:row r="302" ht="15.75" customHeight="1"/>
    <x:row r="303" ht="15.75" customHeight="1"/>
    <x:row r="304" ht="15.75" customHeight="1"/>
    <x:row r="305" ht="15.75" customHeight="1"/>
    <x:row r="306" ht="15.75" customHeight="1"/>
    <x:row r="307" ht="15.75" customHeight="1"/>
    <x:row r="308" ht="15.75" customHeight="1"/>
    <x:row r="309" ht="15.75" customHeight="1"/>
    <x:row r="310" ht="15.75" customHeight="1"/>
    <x:row r="311" ht="15.75" customHeight="1"/>
    <x:row r="312" ht="15.75" customHeight="1"/>
    <x:row r="313" ht="15.75" customHeight="1"/>
    <x:row r="314" ht="15.75" customHeight="1"/>
    <x:row r="315" ht="15.75" customHeight="1"/>
    <x:row r="316" ht="15.75" customHeight="1"/>
    <x:row r="317" ht="15.75" customHeight="1"/>
    <x:row r="318" ht="15.75" customHeight="1"/>
    <x:row r="319" ht="15.75" customHeight="1"/>
    <x:row r="320" ht="15.75" customHeight="1"/>
    <x:row r="321" ht="15.75" customHeight="1"/>
    <x:row r="322" ht="15.75" customHeight="1"/>
    <x:row r="323" ht="15.75" customHeight="1"/>
    <x:row r="324" ht="15.75" customHeight="1"/>
    <x:row r="325" ht="15.75" customHeight="1"/>
    <x:row r="326" ht="15.75" customHeight="1"/>
    <x:row r="327" ht="15.75" customHeight="1"/>
    <x:row r="328" ht="15.75" customHeight="1"/>
    <x:row r="329" ht="15.75" customHeight="1"/>
    <x:row r="330" ht="15.75" customHeight="1"/>
    <x:row r="331" ht="15.75" customHeight="1"/>
    <x:row r="332" ht="15.75" customHeight="1"/>
    <x:row r="333" ht="15.75" customHeight="1"/>
    <x:row r="334" ht="15.75" customHeight="1"/>
    <x:row r="335" ht="15.75" customHeight="1"/>
    <x:row r="336" ht="15.75" customHeight="1"/>
    <x:row r="337" ht="15.75" customHeight="1"/>
    <x:row r="338" ht="15.75" customHeight="1"/>
    <x:row r="339" ht="15.75" customHeight="1"/>
    <x:row r="340" ht="15.75" customHeight="1"/>
    <x:row r="341" ht="15.75" customHeight="1"/>
    <x:row r="342" ht="15.75" customHeight="1"/>
    <x:row r="343" ht="15.75" customHeight="1"/>
    <x:row r="344" ht="15.75" customHeight="1"/>
    <x:row r="345" ht="15.75" customHeight="1"/>
    <x:row r="346" ht="15.75" customHeight="1"/>
    <x:row r="347" ht="15.75" customHeight="1"/>
    <x:row r="348" ht="15.75" customHeight="1"/>
    <x:row r="349" ht="15.75" customHeight="1"/>
    <x:row r="350" ht="15.75" customHeight="1"/>
    <x:row r="351" ht="15.75" customHeight="1"/>
    <x:row r="352" ht="15.75" customHeight="1"/>
    <x:row r="353" ht="15.75" customHeight="1"/>
    <x:row r="354" ht="15.75" customHeight="1"/>
    <x:row r="355" ht="15.75" customHeight="1"/>
    <x:row r="356" ht="15.75" customHeight="1"/>
    <x:row r="357" ht="15.75" customHeight="1"/>
    <x:row r="358" ht="15.75" customHeight="1"/>
    <x:row r="359" ht="15.75" customHeight="1"/>
    <x:row r="360" ht="15.75" customHeight="1"/>
    <x:row r="361" ht="15.75" customHeight="1"/>
    <x:row r="362" ht="15.75" customHeight="1"/>
    <x:row r="363" ht="15.75" customHeight="1"/>
    <x:row r="364" ht="15.75" customHeight="1"/>
    <x:row r="365" ht="15.75" customHeight="1"/>
    <x:row r="366" ht="15.75" customHeight="1"/>
    <x:row r="367" ht="15.75" customHeight="1"/>
    <x:row r="368" ht="15.75" customHeight="1"/>
    <x:row r="369" ht="15.75" customHeight="1"/>
    <x:row r="370" ht="15.75" customHeight="1"/>
    <x:row r="371" ht="15.75" customHeight="1"/>
    <x:row r="372" ht="15.75" customHeight="1"/>
    <x:row r="373" ht="15.75" customHeight="1"/>
    <x:row r="374" ht="15.75" customHeight="1"/>
    <x:row r="375" ht="15.75" customHeight="1"/>
    <x:row r="376" ht="15.75" customHeight="1"/>
    <x:row r="377" ht="15.75" customHeight="1"/>
    <x:row r="378" ht="15.75" customHeight="1"/>
    <x:row r="379" ht="15.75" customHeight="1"/>
    <x:row r="380" ht="15.75" customHeight="1"/>
    <x:row r="381" ht="15.75" customHeight="1"/>
    <x:row r="382" ht="15.75" customHeight="1"/>
    <x:row r="383" ht="15.75" customHeight="1"/>
    <x:row r="384" ht="15.75" customHeight="1"/>
    <x:row r="385" ht="15.75" customHeight="1"/>
    <x:row r="386" ht="15.75" customHeight="1"/>
    <x:row r="387" ht="15.75" customHeight="1"/>
    <x:row r="388" ht="15.75" customHeight="1"/>
    <x:row r="389" ht="15.75" customHeight="1"/>
    <x:row r="390" ht="15.75" customHeight="1"/>
    <x:row r="391" ht="15.75" customHeight="1"/>
    <x:row r="392" ht="15.75" customHeight="1"/>
    <x:row r="393" ht="15.75" customHeight="1"/>
    <x:row r="394" ht="15.75" customHeight="1"/>
    <x:row r="395" ht="15.75" customHeight="1"/>
    <x:row r="396" ht="15.75" customHeight="1"/>
    <x:row r="397" ht="15.75" customHeight="1"/>
    <x:row r="398" ht="15.75" customHeight="1"/>
    <x:row r="399" ht="15.75" customHeight="1"/>
    <x:row r="400" ht="15.75" customHeight="1"/>
    <x:row r="401" ht="15.75" customHeight="1"/>
    <x:row r="402" ht="15.75" customHeight="1"/>
    <x:row r="403" ht="15.75" customHeight="1"/>
    <x:row r="404" ht="15.75" customHeight="1"/>
    <x:row r="405" ht="15.75" customHeight="1"/>
    <x:row r="406" ht="15.75" customHeight="1"/>
    <x:row r="407" ht="15.75" customHeight="1"/>
    <x:row r="408" ht="15.75" customHeight="1"/>
    <x:row r="409" ht="15.75" customHeight="1"/>
    <x:row r="410" ht="15.75" customHeight="1"/>
    <x:row r="411" ht="15.75" customHeight="1"/>
    <x:row r="412" ht="15.75" customHeight="1"/>
    <x:row r="413" ht="15.75" customHeight="1"/>
    <x:row r="414" ht="15.75" customHeight="1"/>
    <x:row r="415" ht="15.75" customHeight="1"/>
    <x:row r="416" ht="15.75" customHeight="1"/>
    <x:row r="417" ht="15.75" customHeight="1"/>
    <x:row r="418" ht="15.75" customHeight="1"/>
    <x:row r="419" ht="15.75" customHeight="1"/>
    <x:row r="420" ht="15.75" customHeight="1"/>
    <x:row r="421" ht="15.75" customHeight="1"/>
    <x:row r="422" ht="15.75" customHeight="1"/>
    <x:row r="423" ht="15.75" customHeight="1"/>
    <x:row r="424" ht="15.75" customHeight="1"/>
    <x:row r="425" ht="15.75" customHeight="1"/>
    <x:row r="426" ht="15.75" customHeight="1"/>
    <x:row r="427" ht="15.75" customHeight="1"/>
    <x:row r="428" ht="15.75" customHeight="1"/>
    <x:row r="429" ht="15.75" customHeight="1"/>
    <x:row r="430" ht="15.75" customHeight="1"/>
    <x:row r="431" ht="15.75" customHeight="1"/>
    <x:row r="432" ht="15.75" customHeight="1"/>
    <x:row r="433" ht="15.75" customHeight="1"/>
    <x:row r="434" ht="15.75" customHeight="1"/>
    <x:row r="435" ht="15.75" customHeight="1"/>
    <x:row r="436" ht="15.75" customHeight="1"/>
    <x:row r="437" ht="15.75" customHeight="1"/>
    <x:row r="438" ht="15.75" customHeight="1"/>
    <x:row r="439" ht="15.75" customHeight="1"/>
    <x:row r="440" ht="15.75" customHeight="1"/>
    <x:row r="441" ht="15.75" customHeight="1"/>
    <x:row r="442" ht="15.75" customHeight="1"/>
    <x:row r="443" ht="15.75" customHeight="1"/>
    <x:row r="444" ht="15.75" customHeight="1"/>
    <x:row r="445" ht="15.75" customHeight="1"/>
    <x:row r="446" ht="15.75" customHeight="1"/>
    <x:row r="447" ht="15.75" customHeight="1"/>
    <x:row r="448" ht="15.75" customHeight="1"/>
    <x:row r="449" ht="15.75" customHeight="1"/>
    <x:row r="450" ht="15.75" customHeight="1"/>
    <x:row r="451" ht="15.75" customHeight="1"/>
    <x:row r="452" ht="15.75" customHeight="1"/>
    <x:row r="453" ht="15.75" customHeight="1"/>
    <x:row r="454" ht="15.75" customHeight="1"/>
    <x:row r="455" ht="15.75" customHeight="1"/>
    <x:row r="456" ht="15.75" customHeight="1"/>
    <x:row r="457" ht="15.75" customHeight="1"/>
    <x:row r="458" ht="15.75" customHeight="1"/>
    <x:row r="459" ht="15.75" customHeight="1"/>
    <x:row r="460" ht="15.75" customHeight="1"/>
    <x:row r="461" ht="15.75" customHeight="1"/>
    <x:row r="462" ht="15.75" customHeight="1"/>
    <x:row r="463" ht="15.75" customHeight="1"/>
    <x:row r="464" ht="15.75" customHeight="1"/>
    <x:row r="465" ht="15.75" customHeight="1"/>
    <x:row r="466" ht="15.75" customHeight="1"/>
    <x:row r="467" ht="15.75" customHeight="1"/>
    <x:row r="468" ht="15.75" customHeight="1"/>
    <x:row r="469" ht="15.75" customHeight="1"/>
    <x:row r="470" ht="15.75" customHeight="1"/>
    <x:row r="471" ht="15.75" customHeight="1"/>
    <x:row r="472" ht="15.75" customHeight="1"/>
    <x:row r="473" ht="15.75" customHeight="1"/>
    <x:row r="474" ht="15.75" customHeight="1"/>
    <x:row r="475" ht="15.75" customHeight="1"/>
    <x:row r="476" ht="15.75" customHeight="1"/>
    <x:row r="477" ht="15.75" customHeight="1"/>
    <x:row r="478" ht="15.75" customHeight="1"/>
    <x:row r="479" ht="15.75" customHeight="1"/>
    <x:row r="480" ht="15.75" customHeight="1"/>
    <x:row r="481" ht="15.75" customHeight="1"/>
    <x:row r="482" ht="15.75" customHeight="1"/>
    <x:row r="483" ht="15.75" customHeight="1"/>
    <x:row r="484" ht="15.75" customHeight="1"/>
    <x:row r="485" ht="15.75" customHeight="1"/>
    <x:row r="486" ht="15.75" customHeight="1"/>
    <x:row r="487" ht="15.75" customHeight="1"/>
    <x:row r="488" ht="15.75" customHeight="1"/>
    <x:row r="489" ht="15.75" customHeight="1"/>
    <x:row r="490" ht="15.75" customHeight="1"/>
    <x:row r="491" ht="15.75" customHeight="1"/>
    <x:row r="492" ht="15.75" customHeight="1"/>
    <x:row r="493" ht="15.75" customHeight="1"/>
    <x:row r="494" ht="15.75" customHeight="1"/>
    <x:row r="495" ht="15.75" customHeight="1"/>
    <x:row r="496" ht="15.75" customHeight="1"/>
    <x:row r="497" ht="15.75" customHeight="1"/>
    <x:row r="498" ht="15.75" customHeight="1"/>
    <x:row r="499" ht="15.75" customHeight="1"/>
    <x:row r="500" ht="15.75" customHeight="1"/>
    <x:row r="501" ht="15.75" customHeight="1"/>
    <x:row r="502" ht="15.75" customHeight="1"/>
    <x:row r="503" ht="15.75" customHeight="1"/>
    <x:row r="504" ht="15.75" customHeight="1"/>
    <x:row r="505" ht="15.75" customHeight="1"/>
    <x:row r="506" ht="15.75" customHeight="1"/>
    <x:row r="507" ht="15.75" customHeight="1"/>
    <x:row r="508" ht="15.75" customHeight="1"/>
    <x:row r="509" ht="15.75" customHeight="1"/>
    <x:row r="510" ht="15.75" customHeight="1"/>
    <x:row r="511" ht="15.75" customHeight="1"/>
    <x:row r="512" ht="15.75" customHeight="1"/>
    <x:row r="513" ht="15.75" customHeight="1"/>
    <x:row r="514" ht="15.75" customHeight="1"/>
    <x:row r="515" ht="15.75" customHeight="1"/>
    <x:row r="516" ht="15.75" customHeight="1"/>
    <x:row r="517" ht="15.75" customHeight="1"/>
    <x:row r="518" ht="15.75" customHeight="1"/>
    <x:row r="519" ht="15.75" customHeight="1"/>
    <x:row r="520" ht="15.75" customHeight="1"/>
    <x:row r="521" ht="15.75" customHeight="1"/>
    <x:row r="522" ht="15.75" customHeight="1"/>
    <x:row r="523" ht="15.75" customHeight="1"/>
    <x:row r="524" ht="15.75" customHeight="1"/>
    <x:row r="525" ht="15.75" customHeight="1"/>
    <x:row r="526" ht="15.75" customHeight="1"/>
    <x:row r="527" ht="15.75" customHeight="1"/>
    <x:row r="528" ht="15.75" customHeight="1"/>
    <x:row r="529" ht="15.75" customHeight="1"/>
    <x:row r="530" ht="15.75" customHeight="1"/>
    <x:row r="531" ht="15.75" customHeight="1"/>
    <x:row r="532" ht="15.75" customHeight="1"/>
    <x:row r="533" ht="15.75" customHeight="1"/>
    <x:row r="534" ht="15.75" customHeight="1"/>
    <x:row r="535" ht="15.75" customHeight="1"/>
    <x:row r="536" ht="15.75" customHeight="1"/>
    <x:row r="537" ht="15.75" customHeight="1"/>
    <x:row r="538" ht="15.75" customHeight="1"/>
    <x:row r="539" ht="15.75" customHeight="1"/>
    <x:row r="540" ht="15.75" customHeight="1"/>
    <x:row r="541" ht="15.75" customHeight="1"/>
    <x:row r="542" ht="15.75" customHeight="1"/>
    <x:row r="543" ht="15.75" customHeight="1"/>
    <x:row r="544" ht="15.75" customHeight="1"/>
    <x:row r="545" ht="15.75" customHeight="1"/>
    <x:row r="546" ht="15.75" customHeight="1"/>
    <x:row r="547" ht="15.75" customHeight="1"/>
    <x:row r="548" ht="15.75" customHeight="1"/>
    <x:row r="549" ht="15.75" customHeight="1"/>
    <x:row r="550" ht="15.75" customHeight="1"/>
    <x:row r="551" ht="15.75" customHeight="1"/>
    <x:row r="552" ht="15.75" customHeight="1"/>
    <x:row r="553" ht="15.75" customHeight="1"/>
    <x:row r="554" ht="15.75" customHeight="1"/>
    <x:row r="555" ht="15.75" customHeight="1"/>
    <x:row r="556" ht="15.75" customHeight="1"/>
    <x:row r="557" ht="15.75" customHeight="1"/>
    <x:row r="558" ht="15.75" customHeight="1"/>
    <x:row r="559" ht="15.75" customHeight="1"/>
    <x:row r="560" ht="15.75" customHeight="1"/>
    <x:row r="561" ht="15.75" customHeight="1"/>
    <x:row r="562" ht="15.75" customHeight="1"/>
    <x:row r="563" ht="15.75" customHeight="1"/>
    <x:row r="564" ht="15.75" customHeight="1"/>
    <x:row r="565" ht="15.75" customHeight="1"/>
    <x:row r="566" ht="15.75" customHeight="1"/>
    <x:row r="567" ht="15.75" customHeight="1"/>
    <x:row r="568" ht="15.75" customHeight="1"/>
    <x:row r="569" ht="15.75" customHeight="1"/>
    <x:row r="570" ht="15.75" customHeight="1"/>
    <x:row r="571" ht="15.75" customHeight="1"/>
    <x:row r="572" ht="15.75" customHeight="1"/>
    <x:row r="573" ht="15.75" customHeight="1"/>
    <x:row r="574" ht="15.75" customHeight="1"/>
    <x:row r="575" ht="15.75" customHeight="1"/>
    <x:row r="576" ht="15.75" customHeight="1"/>
    <x:row r="577" ht="15.75" customHeight="1"/>
    <x:row r="578" ht="15.75" customHeight="1"/>
    <x:row r="579" ht="15.75" customHeight="1"/>
    <x:row r="580" ht="15.75" customHeight="1"/>
    <x:row r="581" ht="15.75" customHeight="1"/>
    <x:row r="582" ht="15.75" customHeight="1"/>
    <x:row r="583" ht="15.75" customHeight="1"/>
    <x:row r="584" ht="15.75" customHeight="1"/>
    <x:row r="585" ht="15.75" customHeight="1"/>
    <x:row r="586" ht="15.75" customHeight="1"/>
    <x:row r="587" ht="15.75" customHeight="1"/>
    <x:row r="588" ht="15.75" customHeight="1"/>
    <x:row r="589" ht="15.75" customHeight="1"/>
    <x:row r="590" ht="15.75" customHeight="1"/>
    <x:row r="591" ht="15.75" customHeight="1"/>
    <x:row r="592" ht="15.75" customHeight="1"/>
    <x:row r="593" ht="15.75" customHeight="1"/>
    <x:row r="594" ht="15.75" customHeight="1"/>
    <x:row r="595" ht="15.75" customHeight="1"/>
    <x:row r="596" ht="15.75" customHeight="1"/>
    <x:row r="597" ht="15.75" customHeight="1"/>
    <x:row r="598" ht="15.75" customHeight="1"/>
    <x:row r="599" ht="15.75" customHeight="1"/>
    <x:row r="600" ht="15.75" customHeight="1"/>
    <x:row r="601" ht="15.75" customHeight="1"/>
    <x:row r="602" ht="15.75" customHeight="1"/>
    <x:row r="603" ht="15.75" customHeight="1"/>
    <x:row r="604" ht="15.75" customHeight="1"/>
    <x:row r="605" ht="15.75" customHeight="1"/>
    <x:row r="606" ht="15.75" customHeight="1"/>
    <x:row r="607" ht="15.75" customHeight="1"/>
    <x:row r="608" ht="15.75" customHeight="1"/>
    <x:row r="609" ht="15.75" customHeight="1"/>
    <x:row r="610" ht="15.75" customHeight="1"/>
    <x:row r="611" ht="15.75" customHeight="1"/>
    <x:row r="612" ht="15.75" customHeight="1"/>
    <x:row r="613" ht="15.75" customHeight="1"/>
    <x:row r="614" ht="15.75" customHeight="1"/>
    <x:row r="615" ht="15.75" customHeight="1"/>
    <x:row r="616" ht="15.75" customHeight="1"/>
    <x:row r="617" ht="15.75" customHeight="1"/>
    <x:row r="618" ht="15.75" customHeight="1"/>
    <x:row r="619" ht="15.75" customHeight="1"/>
    <x:row r="620" ht="15.75" customHeight="1"/>
    <x:row r="621" ht="15.75" customHeight="1"/>
    <x:row r="622" ht="15.75" customHeight="1"/>
    <x:row r="623" ht="15.75" customHeight="1"/>
    <x:row r="624" ht="15.75" customHeight="1"/>
    <x:row r="625" ht="15.75" customHeight="1"/>
    <x:row r="626" ht="15.75" customHeight="1"/>
    <x:row r="627" ht="15.75" customHeight="1"/>
    <x:row r="628" ht="15.75" customHeight="1"/>
    <x:row r="629" ht="15.75" customHeight="1"/>
    <x:row r="630" ht="15.75" customHeight="1"/>
    <x:row r="631" ht="15.75" customHeight="1"/>
    <x:row r="632" ht="15.75" customHeight="1"/>
    <x:row r="633" ht="15.75" customHeight="1"/>
    <x:row r="634" ht="15.75" customHeight="1"/>
    <x:row r="635" ht="15.75" customHeight="1"/>
    <x:row r="636" ht="15.75" customHeight="1"/>
    <x:row r="637" ht="15.75" customHeight="1"/>
    <x:row r="638" ht="15.75" customHeight="1"/>
    <x:row r="639" ht="15.75" customHeight="1"/>
    <x:row r="640" ht="15.75" customHeight="1"/>
    <x:row r="641" ht="15.75" customHeight="1"/>
    <x:row r="642" ht="15.75" customHeight="1"/>
    <x:row r="643" ht="15.75" customHeight="1"/>
    <x:row r="644" ht="15.75" customHeight="1"/>
    <x:row r="645" ht="15.75" customHeight="1"/>
    <x:row r="646" ht="15.75" customHeight="1"/>
    <x:row r="647" ht="15.75" customHeight="1"/>
    <x:row r="648" ht="15.75" customHeight="1"/>
    <x:row r="649" ht="15.75" customHeight="1"/>
    <x:row r="650" ht="15.75" customHeight="1"/>
    <x:row r="651" ht="15.75" customHeight="1"/>
    <x:row r="652" ht="15.75" customHeight="1"/>
    <x:row r="653" ht="15.75" customHeight="1"/>
    <x:row r="654" ht="15.75" customHeight="1"/>
    <x:row r="655" ht="15.75" customHeight="1"/>
    <x:row r="656" ht="15.75" customHeight="1"/>
    <x:row r="657" ht="15.75" customHeight="1"/>
    <x:row r="658" ht="15.75" customHeight="1"/>
    <x:row r="659" ht="15.75" customHeight="1"/>
    <x:row r="660" ht="15.75" customHeight="1"/>
    <x:row r="661" ht="15.75" customHeight="1"/>
    <x:row r="662" ht="15.75" customHeight="1"/>
    <x:row r="663" ht="15.75" customHeight="1"/>
    <x:row r="664" ht="15.75" customHeight="1"/>
    <x:row r="665" ht="15.75" customHeight="1"/>
    <x:row r="666" ht="15.75" customHeight="1"/>
    <x:row r="667" ht="15.75" customHeight="1"/>
    <x:row r="668" ht="15.75" customHeight="1"/>
    <x:row r="669" ht="15.75" customHeight="1"/>
    <x:row r="670" ht="15.75" customHeight="1"/>
    <x:row r="671" ht="15.75" customHeight="1"/>
    <x:row r="672" ht="15.75" customHeight="1"/>
    <x:row r="673" ht="15.75" customHeight="1"/>
    <x:row r="674" ht="15.75" customHeight="1"/>
    <x:row r="675" ht="15.75" customHeight="1"/>
    <x:row r="676" ht="15.75" customHeight="1"/>
    <x:row r="677" ht="15.75" customHeight="1"/>
    <x:row r="678" ht="15.75" customHeight="1"/>
    <x:row r="679" ht="15.75" customHeight="1"/>
    <x:row r="680" ht="15.75" customHeight="1"/>
    <x:row r="681" ht="15.75" customHeight="1"/>
    <x:row r="682" ht="15.75" customHeight="1"/>
    <x:row r="683" ht="15.75" customHeight="1"/>
    <x:row r="684" ht="15.75" customHeight="1"/>
    <x:row r="685" ht="15.75" customHeight="1"/>
    <x:row r="686" ht="15.75" customHeight="1"/>
    <x:row r="687" ht="15.75" customHeight="1"/>
    <x:row r="688" ht="15.75" customHeight="1"/>
    <x:row r="689" ht="15.75" customHeight="1"/>
    <x:row r="690" ht="15.75" customHeight="1"/>
    <x:row r="691" ht="15.75" customHeight="1"/>
    <x:row r="692" ht="15.75" customHeight="1"/>
    <x:row r="693" ht="15.75" customHeight="1"/>
    <x:row r="694" ht="15.75" customHeight="1"/>
    <x:row r="695" ht="15.75" customHeight="1"/>
    <x:row r="696" ht="15.75" customHeight="1"/>
    <x:row r="697" ht="15.75" customHeight="1"/>
    <x:row r="698" ht="15.75" customHeight="1"/>
    <x:row r="699" ht="15.75" customHeight="1"/>
    <x:row r="700" ht="15.75" customHeight="1"/>
    <x:row r="701" ht="15.75" customHeight="1"/>
    <x:row r="702" ht="15.75" customHeight="1"/>
    <x:row r="703" ht="15.75" customHeight="1"/>
    <x:row r="704" ht="15.75" customHeight="1"/>
    <x:row r="705" ht="15.75" customHeight="1"/>
    <x:row r="706" ht="15.75" customHeight="1"/>
    <x:row r="707" ht="15.75" customHeight="1"/>
    <x:row r="708" ht="15.75" customHeight="1"/>
    <x:row r="709" ht="15.75" customHeight="1"/>
    <x:row r="710" ht="15.75" customHeight="1"/>
    <x:row r="711" ht="15.75" customHeight="1"/>
    <x:row r="712" ht="15.75" customHeight="1"/>
    <x:row r="713" ht="15.75" customHeight="1"/>
    <x:row r="714" ht="15.75" customHeight="1"/>
    <x:row r="715" ht="15.75" customHeight="1"/>
    <x:row r="716" ht="15.75" customHeight="1"/>
    <x:row r="717" ht="15.75" customHeight="1"/>
    <x:row r="718" ht="15.75" customHeight="1"/>
    <x:row r="719" ht="15.75" customHeight="1"/>
    <x:row r="720" ht="15.75" customHeight="1"/>
    <x:row r="721" ht="15.75" customHeight="1"/>
    <x:row r="722" ht="15.75" customHeight="1"/>
    <x:row r="723" ht="15.75" customHeight="1"/>
    <x:row r="724" ht="15.75" customHeight="1"/>
    <x:row r="725" ht="15.75" customHeight="1"/>
    <x:row r="726" ht="15.75" customHeight="1"/>
    <x:row r="727" ht="15.75" customHeight="1"/>
    <x:row r="728" ht="15.75" customHeight="1"/>
    <x:row r="729" ht="15.75" customHeight="1"/>
    <x:row r="730" ht="15.75" customHeight="1"/>
    <x:row r="731" ht="15.75" customHeight="1"/>
    <x:row r="732" ht="15.75" customHeight="1"/>
    <x:row r="733" ht="15.75" customHeight="1"/>
    <x:row r="734" ht="15.75" customHeight="1"/>
    <x:row r="735" ht="15.75" customHeight="1"/>
    <x:row r="736" ht="15.75" customHeight="1"/>
    <x:row r="737" ht="15.75" customHeight="1"/>
    <x:row r="738" ht="15.75" customHeight="1"/>
    <x:row r="739" ht="15.75" customHeight="1"/>
    <x:row r="740" ht="15.75" customHeight="1"/>
    <x:row r="741" ht="15.75" customHeight="1"/>
    <x:row r="742" ht="15.75" customHeight="1"/>
    <x:row r="743" ht="15.75" customHeight="1"/>
    <x:row r="744" ht="15.75" customHeight="1"/>
    <x:row r="745" ht="15.75" customHeight="1"/>
    <x:row r="746" ht="15.75" customHeight="1"/>
    <x:row r="747" ht="15.75" customHeight="1"/>
    <x:row r="748" ht="15.75" customHeight="1"/>
    <x:row r="749" ht="15.75" customHeight="1"/>
    <x:row r="750" ht="15.75" customHeight="1"/>
    <x:row r="751" ht="15.75" customHeight="1"/>
    <x:row r="752" ht="15.75" customHeight="1"/>
    <x:row r="753" ht="15.75" customHeight="1"/>
    <x:row r="754" ht="15.75" customHeight="1"/>
    <x:row r="755" ht="15.75" customHeight="1"/>
    <x:row r="756" ht="15.75" customHeight="1"/>
    <x:row r="757" ht="15.75" customHeight="1"/>
    <x:row r="758" ht="15.75" customHeight="1"/>
    <x:row r="759" ht="15.75" customHeight="1"/>
    <x:row r="760" ht="15.75" customHeight="1"/>
    <x:row r="761" ht="15.75" customHeight="1"/>
    <x:row r="762" ht="15.75" customHeight="1"/>
    <x:row r="763" ht="15.75" customHeight="1"/>
    <x:row r="764" ht="15.75" customHeight="1"/>
    <x:row r="765" ht="15.75" customHeight="1"/>
    <x:row r="766" ht="15.75" customHeight="1"/>
    <x:row r="767" ht="15.75" customHeight="1"/>
    <x:row r="768" ht="15.75" customHeight="1"/>
    <x:row r="769" ht="15.75" customHeight="1"/>
    <x:row r="770" ht="15.75" customHeight="1"/>
    <x:row r="771" ht="15.75" customHeight="1"/>
    <x:row r="772" ht="15.75" customHeight="1"/>
    <x:row r="773" ht="15.75" customHeight="1"/>
    <x:row r="774" ht="15.75" customHeight="1"/>
    <x:row r="775" ht="15.75" customHeight="1"/>
    <x:row r="776" ht="15.75" customHeight="1"/>
    <x:row r="777" ht="15.75" customHeight="1"/>
    <x:row r="778" ht="15.75" customHeight="1"/>
    <x:row r="779" ht="15.75" customHeight="1"/>
    <x:row r="780" ht="15.75" customHeight="1"/>
    <x:row r="781" ht="15.75" customHeight="1"/>
    <x:row r="782" ht="15.75" customHeight="1"/>
    <x:row r="783" ht="15.75" customHeight="1"/>
    <x:row r="784" ht="15.75" customHeight="1"/>
    <x:row r="785" ht="15.75" customHeight="1"/>
    <x:row r="786" ht="15.75" customHeight="1"/>
    <x:row r="787" ht="15.75" customHeight="1"/>
    <x:row r="788" ht="15.75" customHeight="1"/>
    <x:row r="789" ht="15.75" customHeight="1"/>
    <x:row r="790" ht="15.75" customHeight="1"/>
    <x:row r="791" ht="15.75" customHeight="1"/>
    <x:row r="792" ht="15.75" customHeight="1"/>
    <x:row r="793" ht="15.75" customHeight="1"/>
    <x:row r="794" ht="15.75" customHeight="1"/>
    <x:row r="795" ht="15.75" customHeight="1"/>
    <x:row r="796" ht="15.75" customHeight="1"/>
    <x:row r="797" ht="15.75" customHeight="1"/>
    <x:row r="798" ht="15.75" customHeight="1"/>
    <x:row r="799" ht="15.75" customHeight="1"/>
    <x:row r="800" ht="15.75" customHeight="1"/>
    <x:row r="801" ht="15.75" customHeight="1"/>
    <x:row r="802" ht="15.75" customHeight="1"/>
    <x:row r="803" ht="15.75" customHeight="1"/>
    <x:row r="804" ht="15.75" customHeight="1"/>
    <x:row r="805" ht="15.75" customHeight="1"/>
    <x:row r="806" ht="15.75" customHeight="1"/>
    <x:row r="807" ht="15.75" customHeight="1"/>
    <x:row r="808" ht="15.75" customHeight="1"/>
    <x:row r="809" ht="15.75" customHeight="1"/>
    <x:row r="810" ht="15.75" customHeight="1"/>
    <x:row r="811" ht="15.75" customHeight="1"/>
    <x:row r="812" ht="15.75" customHeight="1"/>
    <x:row r="813" ht="15.75" customHeight="1"/>
    <x:row r="814" ht="15.75" customHeight="1"/>
    <x:row r="815" ht="15.75" customHeight="1"/>
    <x:row r="816" ht="15.75" customHeight="1"/>
    <x:row r="817" ht="15.75" customHeight="1"/>
    <x:row r="818" ht="15.75" customHeight="1"/>
    <x:row r="819" ht="15.75" customHeight="1"/>
    <x:row r="820" ht="15.75" customHeight="1"/>
    <x:row r="821" ht="15.75" customHeight="1"/>
    <x:row r="822" ht="15.75" customHeight="1"/>
    <x:row r="823" ht="15.75" customHeight="1"/>
    <x:row r="824" ht="15.75" customHeight="1"/>
    <x:row r="825" ht="15.75" customHeight="1"/>
    <x:row r="826" ht="15.75" customHeight="1"/>
    <x:row r="827" ht="15.75" customHeight="1"/>
    <x:row r="828" ht="15.75" customHeight="1"/>
    <x:row r="829" ht="15.75" customHeight="1"/>
    <x:row r="830" ht="15.75" customHeight="1"/>
    <x:row r="831" ht="15.75" customHeight="1"/>
    <x:row r="832" ht="15.75" customHeight="1"/>
    <x:row r="833" ht="15.75" customHeight="1"/>
    <x:row r="834" ht="15.75" customHeight="1"/>
    <x:row r="835" ht="15.75" customHeight="1"/>
    <x:row r="836" ht="15.75" customHeight="1"/>
    <x:row r="837" ht="15.75" customHeight="1"/>
    <x:row r="838" ht="15.75" customHeight="1"/>
    <x:row r="839" ht="15.75" customHeight="1"/>
    <x:row r="840" ht="15.75" customHeight="1"/>
    <x:row r="841" ht="15.75" customHeight="1"/>
    <x:row r="842" ht="15.75" customHeight="1"/>
    <x:row r="843" ht="15.75" customHeight="1"/>
    <x:row r="844" ht="15.75" customHeight="1"/>
    <x:row r="845" ht="15.75" customHeight="1"/>
    <x:row r="846" ht="15.75" customHeight="1"/>
    <x:row r="847" ht="15.75" customHeight="1"/>
    <x:row r="848" ht="15.75" customHeight="1"/>
    <x:row r="849" ht="15.75" customHeight="1"/>
    <x:row r="850" ht="15.75" customHeight="1"/>
    <x:row r="851" ht="15.75" customHeight="1"/>
    <x:row r="852" ht="15.75" customHeight="1"/>
    <x:row r="853" ht="15.75" customHeight="1"/>
    <x:row r="854" ht="15.75" customHeight="1"/>
    <x:row r="855" ht="15.75" customHeight="1"/>
    <x:row r="856" ht="15.75" customHeight="1"/>
    <x:row r="857" ht="15.75" customHeight="1"/>
    <x:row r="858" ht="15.75" customHeight="1"/>
    <x:row r="859" ht="15.75" customHeight="1"/>
    <x:row r="860" ht="15.75" customHeight="1"/>
    <x:row r="861" ht="15.75" customHeight="1"/>
    <x:row r="862" ht="15.75" customHeight="1"/>
    <x:row r="863" ht="15.75" customHeight="1"/>
    <x:row r="864" ht="15.75" customHeight="1"/>
    <x:row r="865" ht="15.75" customHeight="1"/>
    <x:row r="866" ht="15.75" customHeight="1"/>
    <x:row r="867" ht="15.75" customHeight="1"/>
    <x:row r="868" ht="15.75" customHeight="1"/>
    <x:row r="869" ht="15.75" customHeight="1"/>
    <x:row r="870" ht="15.75" customHeight="1"/>
    <x:row r="871" ht="15.75" customHeight="1"/>
    <x:row r="872" ht="15.75" customHeight="1"/>
    <x:row r="873" ht="15.75" customHeight="1"/>
    <x:row r="874" ht="15.75" customHeight="1"/>
    <x:row r="875" ht="15.75" customHeight="1"/>
    <x:row r="876" ht="15.75" customHeight="1"/>
    <x:row r="877" ht="15.75" customHeight="1"/>
    <x:row r="878" ht="15.75" customHeight="1"/>
    <x:row r="879" ht="15.75" customHeight="1"/>
    <x:row r="880" ht="15.75" customHeight="1"/>
    <x:row r="881" ht="15.75" customHeight="1"/>
    <x:row r="882" ht="15.75" customHeight="1"/>
    <x:row r="883" ht="15.75" customHeight="1"/>
    <x:row r="884" ht="15.75" customHeight="1"/>
    <x:row r="885" ht="15.75" customHeight="1"/>
    <x:row r="886" ht="15.75" customHeight="1"/>
    <x:row r="887" ht="15.75" customHeight="1"/>
    <x:row r="888" ht="15.75" customHeight="1"/>
    <x:row r="889" ht="15.75" customHeight="1"/>
    <x:row r="890" ht="15.75" customHeight="1"/>
    <x:row r="891" ht="15.75" customHeight="1"/>
    <x:row r="892" ht="15.75" customHeight="1"/>
    <x:row r="893" ht="15.75" customHeight="1"/>
    <x:row r="894" ht="15.75" customHeight="1"/>
    <x:row r="895" ht="15.75" customHeight="1"/>
    <x:row r="896" ht="15.75" customHeight="1"/>
    <x:row r="897" ht="15.75" customHeight="1"/>
    <x:row r="898" ht="15.75" customHeight="1"/>
    <x:row r="899" ht="15.75" customHeight="1"/>
    <x:row r="900" ht="15.75" customHeight="1"/>
    <x:row r="901" ht="15.75" customHeight="1"/>
    <x:row r="902" ht="15.75" customHeight="1"/>
    <x:row r="903" ht="15.75" customHeight="1"/>
    <x:row r="904" ht="15.75" customHeight="1"/>
    <x:row r="905" ht="15.75" customHeight="1"/>
    <x:row r="906" ht="15.75" customHeight="1"/>
    <x:row r="907" ht="15.75" customHeight="1"/>
    <x:row r="908" ht="15.75" customHeight="1"/>
    <x:row r="909" ht="15.75" customHeight="1"/>
    <x:row r="910" ht="15.75" customHeight="1"/>
    <x:row r="911" ht="15.75" customHeight="1"/>
    <x:row r="912" ht="15.75" customHeight="1"/>
    <x:row r="913" ht="15.75" customHeight="1"/>
    <x:row r="914" ht="15.75" customHeight="1"/>
    <x:row r="915" ht="15.75" customHeight="1"/>
    <x:row r="916" ht="15.75" customHeight="1"/>
    <x:row r="917" ht="15.75" customHeight="1"/>
    <x:row r="918" ht="15.75" customHeight="1"/>
    <x:row r="919" ht="15.75" customHeight="1"/>
    <x:row r="920" ht="15.75" customHeight="1"/>
    <x:row r="921" ht="15.75" customHeight="1"/>
    <x:row r="922" ht="15.75" customHeight="1"/>
    <x:row r="923" ht="15.75" customHeight="1"/>
    <x:row r="924" ht="15.75" customHeight="1"/>
    <x:row r="925" ht="15.75" customHeight="1"/>
    <x:row r="926" ht="15.75" customHeight="1"/>
    <x:row r="927" ht="15.75" customHeight="1"/>
    <x:row r="928" ht="15.75" customHeight="1"/>
    <x:row r="929" ht="15.75" customHeight="1"/>
    <x:row r="930" ht="15.75" customHeight="1"/>
    <x:row r="931" ht="15.75" customHeight="1"/>
    <x:row r="932" ht="15.75" customHeight="1"/>
    <x:row r="933" ht="15.75" customHeight="1"/>
    <x:row r="934" ht="15.75" customHeight="1"/>
    <x:row r="935" ht="15.75" customHeight="1"/>
    <x:row r="936" ht="15.75" customHeight="1"/>
    <x:row r="937" ht="15.75" customHeight="1"/>
    <x:row r="938" ht="15.75" customHeight="1"/>
    <x:row r="939" ht="15.75" customHeight="1"/>
    <x:row r="940" ht="15.75" customHeight="1"/>
    <x:row r="941" ht="15.75" customHeight="1"/>
    <x:row r="942" ht="15.75" customHeight="1"/>
    <x:row r="943" ht="15.75" customHeight="1"/>
    <x:row r="944" ht="15.75" customHeight="1"/>
    <x:row r="945" ht="15.75" customHeight="1"/>
    <x:row r="946" ht="15.75" customHeight="1"/>
    <x:row r="947" ht="15.75" customHeight="1"/>
    <x:row r="948" ht="15.75" customHeight="1"/>
    <x:row r="949" ht="15.75" customHeight="1"/>
    <x:row r="950" ht="15.75" customHeight="1"/>
    <x:row r="951" ht="15.75" customHeight="1"/>
    <x:row r="952" ht="15.75" customHeight="1"/>
    <x:row r="953" ht="15.75" customHeight="1"/>
    <x:row r="954" ht="15.75" customHeight="1"/>
    <x:row r="955" ht="15.75" customHeight="1"/>
    <x:row r="956" ht="15.75" customHeight="1"/>
    <x:row r="957" ht="15.75" customHeight="1"/>
    <x:row r="958" ht="15.75" customHeight="1"/>
    <x:row r="959" ht="15.75" customHeight="1"/>
    <x:row r="960" ht="15.75" customHeight="1"/>
    <x:row r="961" ht="15.75" customHeight="1"/>
    <x:row r="962" ht="15.75" customHeight="1"/>
    <x:row r="963" ht="15.75" customHeight="1"/>
    <x:row r="964" ht="15.75" customHeight="1"/>
    <x:row r="965" ht="15.75" customHeight="1"/>
    <x:row r="966" ht="15.75" customHeight="1"/>
    <x:row r="967" ht="15.75" customHeight="1"/>
    <x:row r="968" ht="15.75" customHeight="1"/>
    <x:row r="969" ht="15.75" customHeight="1"/>
    <x:row r="970" ht="15.75" customHeight="1"/>
    <x:row r="971" ht="15.75" customHeight="1"/>
    <x:row r="972" ht="15.75" customHeight="1"/>
    <x:row r="973" ht="15.75" customHeight="1"/>
    <x:row r="974" ht="15.75" customHeight="1"/>
    <x:row r="975" ht="15.75" customHeight="1"/>
    <x:row r="976" ht="15.75" customHeight="1"/>
    <x:row r="977" ht="15.75" customHeight="1"/>
    <x:row r="978" ht="15.75" customHeight="1"/>
    <x:row r="979" ht="15.75" customHeight="1"/>
    <x:row r="980" ht="15.75" customHeight="1"/>
    <x:row r="981" ht="15.75" customHeight="1"/>
    <x:row r="982" ht="15.75" customHeight="1"/>
    <x:row r="983" ht="15.75" customHeight="1"/>
    <x:row r="984" ht="15.75" customHeight="1"/>
    <x:row r="985" ht="15.75" customHeight="1"/>
    <x:row r="986" ht="15.75" customHeight="1"/>
    <x:row r="987" ht="15.75" customHeight="1"/>
    <x:row r="988" ht="15.75" customHeight="1"/>
    <x:row r="989" ht="15.75" customHeight="1"/>
    <x:row r="990" ht="15.75" customHeight="1"/>
    <x:row r="991" ht="15.75" customHeight="1"/>
    <x:row r="992" ht="15.75" customHeight="1"/>
    <x:row r="993" ht="15.75" customHeight="1"/>
    <x:row r="994" ht="15.75" customHeight="1"/>
    <x:row r="995" ht="15.75" customHeight="1"/>
    <x:row r="996" ht="15.75" customHeight="1"/>
    <x:row r="997" ht="15.75" customHeight="1"/>
    <x:row r="998" ht="15.75" customHeight="1"/>
    <x:row r="999" ht="15.75" customHeight="1"/>
    <x:row r="1000" ht="15.75" customHeight="1"/>
  </x:sheetData>
  <x:mergeCells>
    <x:mergeCell ref="B5:D5"/>
    <x:mergeCell ref="B6:D6"/>
    <x:mergeCell ref="B7:D7"/>
    <x:mergeCell ref="B8:D8"/>
    <x:mergeCell ref="B29:D29"/>
    <x:mergeCell ref="B30:D30"/>
    <x:mergeCell ref="B31:D31"/>
    <x:mergeCell ref="B32:D32"/>
    <x:mergeCell ref="B34:D34"/>
    <x:mergeCell ref="B35:D35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ColWidth="14.430000305175781" defaultRowHeight="15"/>
  <x:cols>
    <x:col min="1" max="1" width="26" customWidth="1"/>
    <x:col min="2" max="2" width="30" customWidth="1"/>
    <x:col min="3" max="3" width="20" customWidth="1"/>
    <x:col min="4" max="4" width="16" customWidth="1"/>
    <x:col min="5" max="5" width="56" customWidth="1"/>
    <x:col min="6" max="8" width="15" customWidth="1"/>
    <x:col min="9" max="26" width="8.710000038146973" customWidth="1"/>
  </x:cols>
  <x:sheetData>
    <x:row r="1" ht="24" customHeight="1">
      <x:c r="A1" s="1" t="str">
        <x:v>TAB 6 — NGUỒN ĐANG DÙNG VÀ THAM CHIẾU GỐC</x:v>
      </x:c>
      <x:c r="B1" s="2"/>
      <x:c r="C1" s="2"/>
      <x:c r="D1" s="2"/>
      <x:c r="E1" s="2"/>
      <x:c r="F1" s="2"/>
      <x:c r="G1" s="2"/>
      <x:c r="H1" s="2"/>
    </x:row>
    <x:row r="2">
      <x:c r="A2" s="3" t="str">
        <x:v>Hàng 6–41 giữ nguyên từ mẫu, CHƯA tái xác minh toàn bộ. Chỉ dùng bảng nguồn hiện hành từ hàng 45.</x:v>
      </x:c>
    </x:row>
    <x:row r="3">
      <x:c r="A3" s="6" t="s">
        <x:v>243</x:v>
      </x:c>
      <x:c r="B3" s="54" t="d">
        <x:v>2026-10-12T00:00:00.000Z</x:v>
      </x:c>
      <x:c r="D3" s="3" t="s">
        <x:v>244</x:v>
      </x:c>
    </x:row>
    <x:row r="5">
      <x:c r="A5" s="42" t="s">
        <x:v>245</x:v>
      </x:c>
      <x:c r="B5" s="42" t="s">
        <x:v>246</x:v>
      </x:c>
      <x:c r="C5" s="42" t="s">
        <x:v>247</x:v>
      </x:c>
      <x:c r="D5" s="42" t="s">
        <x:v>248</x:v>
      </x:c>
      <x:c r="E5" s="42" t="s">
        <x:v>249</x:v>
      </x:c>
    </x:row>
    <x:row r="6">
      <x:c r="A6" s="43" t="s">
        <x:v>93</x:v>
      </x:c>
      <x:c r="B6" s="43" t="s">
        <x:v>250</x:v>
      </x:c>
      <x:c r="C6" s="43" t="s">
        <x:v>251</x:v>
      </x:c>
      <x:c r="D6" s="43" t="s">
        <x:v>252</x:v>
      </x:c>
      <x:c r="E6" s="44" t="s">
        <x:v>253</x:v>
      </x:c>
    </x:row>
    <x:row r="7">
      <x:c r="A7" s="43" t="s">
        <x:v>93</x:v>
      </x:c>
      <x:c r="B7" s="43" t="s">
        <x:v>254</x:v>
      </x:c>
      <x:c r="C7" s="43" t="s">
        <x:v>255</x:v>
      </x:c>
      <x:c r="D7" s="43" t="s">
        <x:v>252</x:v>
      </x:c>
      <x:c r="E7" s="44" t="s">
        <x:v>253</x:v>
      </x:c>
    </x:row>
    <x:row r="8">
      <x:c r="A8" s="43" t="s">
        <x:v>93</x:v>
      </x:c>
      <x:c r="B8" s="43" t="s">
        <x:v>256</x:v>
      </x:c>
      <x:c r="C8" s="43" t="s">
        <x:v>257</x:v>
      </x:c>
      <x:c r="D8" s="43" t="s">
        <x:v>252</x:v>
      </x:c>
      <x:c r="E8" s="44" t="s">
        <x:v>253</x:v>
      </x:c>
    </x:row>
    <x:row r="9">
      <x:c r="A9" s="43" t="s">
        <x:v>93</x:v>
      </x:c>
      <x:c r="B9" s="43" t="s">
        <x:v>258</x:v>
      </x:c>
      <x:c r="C9" s="43" t="s">
        <x:v>259</x:v>
      </x:c>
      <x:c r="D9" s="43" t="s">
        <x:v>260</x:v>
      </x:c>
      <x:c r="E9" s="44" t="s">
        <x:v>253</x:v>
      </x:c>
    </x:row>
    <x:row r="10">
      <x:c r="A10" s="43" t="s">
        <x:v>93</x:v>
      </x:c>
      <x:c r="B10" s="43" t="s">
        <x:v>261</x:v>
      </x:c>
      <x:c r="C10" s="43" t="s">
        <x:v>262</x:v>
      </x:c>
      <x:c r="D10" s="43" t="s">
        <x:v>252</x:v>
      </x:c>
      <x:c r="E10" s="44" t="s">
        <x:v>263</x:v>
      </x:c>
    </x:row>
    <x:row r="11">
      <x:c r="A11" s="43" t="s">
        <x:v>93</x:v>
      </x:c>
      <x:c r="B11" s="43" t="s">
        <x:v>264</x:v>
      </x:c>
      <x:c r="C11" s="43" t="s">
        <x:v>265</x:v>
      </x:c>
      <x:c r="D11" s="43" t="s">
        <x:v>252</x:v>
      </x:c>
      <x:c r="E11" s="44" t="s">
        <x:v>266</x:v>
      </x:c>
    </x:row>
    <x:row r="12">
      <x:c r="A12" s="43" t="s">
        <x:v>93</x:v>
      </x:c>
      <x:c r="B12" s="43" t="s">
        <x:v>267</x:v>
      </x:c>
      <x:c r="C12" s="43" t="s">
        <x:v>268</x:v>
      </x:c>
      <x:c r="D12" s="43" t="s">
        <x:v>260</x:v>
      </x:c>
      <x:c r="E12" s="44" t="s">
        <x:v>266</x:v>
      </x:c>
    </x:row>
    <x:row r="13">
      <x:c r="A13" s="43" t="s">
        <x:v>93</x:v>
      </x:c>
      <x:c r="B13" s="43" t="s">
        <x:v>269</x:v>
      </x:c>
      <x:c r="C13" s="43" t="s">
        <x:v>270</x:v>
      </x:c>
      <x:c r="D13" s="43" t="s">
        <x:v>252</x:v>
      </x:c>
      <x:c r="E13" s="44" t="s">
        <x:v>271</x:v>
      </x:c>
    </x:row>
    <x:row r="14">
      <x:c r="A14" s="43" t="s">
        <x:v>93</x:v>
      </x:c>
      <x:c r="B14" s="43" t="s">
        <x:v>272</x:v>
      </x:c>
      <x:c r="C14" s="43" t="s">
        <x:v>273</x:v>
      </x:c>
      <x:c r="D14" s="43" t="s">
        <x:v>252</x:v>
      </x:c>
      <x:c r="E14" s="44" t="s">
        <x:v>274</x:v>
      </x:c>
    </x:row>
    <x:row r="15">
      <x:c r="A15" s="43" t="s">
        <x:v>275</x:v>
      </x:c>
      <x:c r="B15" s="43" t="s">
        <x:v>276</x:v>
      </x:c>
      <x:c r="C15" s="43" t="s">
        <x:v>277</x:v>
      </x:c>
      <x:c r="D15" s="43" t="s">
        <x:v>278</x:v>
      </x:c>
      <x:c r="E15" s="44" t="s">
        <x:v>279</x:v>
      </x:c>
    </x:row>
    <x:row r="16">
      <x:c r="A16" s="43" t="s">
        <x:v>275</x:v>
      </x:c>
      <x:c r="B16" s="43" t="s">
        <x:v>280</x:v>
      </x:c>
      <x:c r="C16" s="43" t="s">
        <x:v>281</x:v>
      </x:c>
      <x:c r="D16" s="43" t="s">
        <x:v>278</x:v>
      </x:c>
      <x:c r="E16" s="44" t="s">
        <x:v>282</x:v>
      </x:c>
    </x:row>
    <x:row r="17">
      <x:c r="A17" s="43" t="s">
        <x:v>275</x:v>
      </x:c>
      <x:c r="B17" s="43" t="s">
        <x:v>283</x:v>
      </x:c>
      <x:c r="C17" s="43" t="s">
        <x:v>284</x:v>
      </x:c>
      <x:c r="D17" s="43" t="s">
        <x:v>278</x:v>
      </x:c>
      <x:c r="E17" s="44" t="s">
        <x:v>285</x:v>
      </x:c>
    </x:row>
    <x:row r="18">
      <x:c r="A18" s="43" t="s">
        <x:v>275</x:v>
      </x:c>
      <x:c r="B18" s="43" t="s">
        <x:v>286</x:v>
      </x:c>
      <x:c r="C18" s="43" t="s">
        <x:v>287</x:v>
      </x:c>
      <x:c r="D18" s="43" t="s">
        <x:v>278</x:v>
      </x:c>
      <x:c r="E18" s="44" t="s">
        <x:v>266</x:v>
      </x:c>
    </x:row>
    <x:row r="19">
      <x:c r="A19" s="43" t="s">
        <x:v>288</x:v>
      </x:c>
      <x:c r="B19" s="43" t="s">
        <x:v>289</x:v>
      </x:c>
      <x:c r="C19" s="43" t="s">
        <x:v>290</x:v>
      </x:c>
      <x:c r="D19" s="43" t="s">
        <x:v>291</x:v>
      </x:c>
      <x:c r="E19" s="44" t="s">
        <x:v>292</x:v>
      </x:c>
    </x:row>
    <x:row r="20">
      <x:c r="A20" s="43" t="s">
        <x:v>288</x:v>
      </x:c>
      <x:c r="B20" s="43" t="s">
        <x:v>293</x:v>
      </x:c>
      <x:c r="C20" s="43" t="s">
        <x:v>294</x:v>
      </x:c>
      <x:c r="D20" s="43" t="s">
        <x:v>291</x:v>
      </x:c>
      <x:c r="E20" s="44" t="s">
        <x:v>266</x:v>
      </x:c>
    </x:row>
    <x:row r="21" ht="15.75" customHeight="1">
      <x:c r="A21" s="43" t="s">
        <x:v>288</x:v>
      </x:c>
      <x:c r="B21" s="43" t="s">
        <x:v>295</x:v>
      </x:c>
      <x:c r="C21" s="43" t="s">
        <x:v>296</x:v>
      </x:c>
      <x:c r="D21" s="43" t="s">
        <x:v>291</x:v>
      </x:c>
      <x:c r="E21" s="44" t="s">
        <x:v>297</x:v>
      </x:c>
    </x:row>
    <x:row r="22" ht="15.75" customHeight="1">
      <x:c r="A22" s="43" t="s">
        <x:v>288</x:v>
      </x:c>
      <x:c r="B22" s="43" t="s">
        <x:v>298</x:v>
      </x:c>
      <x:c r="C22" s="43" t="s">
        <x:v>299</x:v>
      </x:c>
      <x:c r="D22" s="43" t="s">
        <x:v>291</x:v>
      </x:c>
      <x:c r="E22" s="44" t="s">
        <x:v>297</x:v>
      </x:c>
    </x:row>
    <x:row r="23" ht="15.75" customHeight="1">
      <x:c r="A23" s="43" t="s">
        <x:v>300</x:v>
      </x:c>
      <x:c r="B23" s="43" t="s">
        <x:v>301</x:v>
      </x:c>
      <x:c r="C23" s="43" t="s">
        <x:v>302</x:v>
      </x:c>
      <x:c r="D23" s="43" t="s">
        <x:v>303</x:v>
      </x:c>
      <x:c r="E23" s="44" t="s">
        <x:v>304</x:v>
      </x:c>
    </x:row>
    <x:row r="24" ht="15.75" customHeight="1">
      <x:c r="A24" s="43" t="s">
        <x:v>305</x:v>
      </x:c>
      <x:c r="B24" s="43" t="s">
        <x:v>306</x:v>
      </x:c>
      <x:c r="C24" s="43" t="s">
        <x:v>307</x:v>
      </x:c>
      <x:c r="D24" s="43" t="s">
        <x:v>308</x:v>
      </x:c>
      <x:c r="E24" s="44" t="s">
        <x:v>309</x:v>
      </x:c>
    </x:row>
    <x:row r="25" ht="15.75" customHeight="1">
      <x:c r="A25" s="43" t="s">
        <x:v>305</x:v>
      </x:c>
      <x:c r="B25" s="43" t="s">
        <x:v>310</x:v>
      </x:c>
      <x:c r="C25" s="43" t="s">
        <x:v>311</x:v>
      </x:c>
      <x:c r="D25" s="43" t="s">
        <x:v>308</x:v>
      </x:c>
      <x:c r="E25" s="44" t="s">
        <x:v>312</x:v>
      </x:c>
    </x:row>
    <x:row r="26" ht="15.75" customHeight="1">
      <x:c r="A26" s="43" t="s">
        <x:v>305</x:v>
      </x:c>
      <x:c r="B26" s="43" t="s">
        <x:v>313</x:v>
      </x:c>
      <x:c r="C26" s="43" t="s">
        <x:v>314</x:v>
      </x:c>
      <x:c r="D26" s="43" t="s">
        <x:v>260</x:v>
      </x:c>
      <x:c r="E26" s="44" t="s">
        <x:v>315</x:v>
      </x:c>
    </x:row>
    <x:row r="27" ht="15.75" customHeight="1">
      <x:c r="A27" s="43" t="s">
        <x:v>316</x:v>
      </x:c>
      <x:c r="B27" s="43" t="s">
        <x:v>317</x:v>
      </x:c>
      <x:c r="C27" s="43" t="s">
        <x:v>318</x:v>
      </x:c>
      <x:c r="D27" s="43" t="s">
        <x:v>319</x:v>
      </x:c>
      <x:c r="E27" s="44" t="s">
        <x:v>320</x:v>
      </x:c>
    </x:row>
    <x:row r="28" ht="15.75" customHeight="1">
      <x:c r="A28" s="43" t="s">
        <x:v>316</x:v>
      </x:c>
      <x:c r="B28" s="43" t="s">
        <x:v>321</x:v>
      </x:c>
      <x:c r="C28" s="43" t="s">
        <x:v>322</x:v>
      </x:c>
      <x:c r="D28" s="43" t="s">
        <x:v>319</x:v>
      </x:c>
      <x:c r="E28" s="44" t="s">
        <x:v>320</x:v>
      </x:c>
    </x:row>
    <x:row r="29" ht="15.75" customHeight="1">
      <x:c r="A29" s="43" t="s">
        <x:v>316</x:v>
      </x:c>
      <x:c r="B29" s="43" t="s">
        <x:v>323</x:v>
      </x:c>
      <x:c r="C29" s="43" t="s">
        <x:v>324</x:v>
      </x:c>
      <x:c r="D29" s="43" t="s">
        <x:v>325</x:v>
      </x:c>
      <x:c r="E29" s="44" t="s">
        <x:v>326</x:v>
      </x:c>
    </x:row>
    <x:row r="30" ht="15.75" customHeight="1">
      <x:c r="A30" s="43" t="s">
        <x:v>316</x:v>
      </x:c>
      <x:c r="B30" s="43" t="s">
        <x:v>327</x:v>
      </x:c>
      <x:c r="C30" s="43" t="s">
        <x:v>328</x:v>
      </x:c>
      <x:c r="D30" s="43" t="s">
        <x:v>329</x:v>
      </x:c>
      <x:c r="E30" s="44" t="s">
        <x:v>330</x:v>
      </x:c>
    </x:row>
    <x:row r="31" ht="15.75" customHeight="1">
      <x:c r="A31" s="43" t="s">
        <x:v>316</x:v>
      </x:c>
      <x:c r="B31" s="43" t="s">
        <x:v>331</x:v>
      </x:c>
      <x:c r="C31" s="43" t="s">
        <x:v>332</x:v>
      </x:c>
      <x:c r="D31" s="43" t="s">
        <x:v>333</x:v>
      </x:c>
      <x:c r="E31" s="44" t="s">
        <x:v>330</x:v>
      </x:c>
    </x:row>
    <x:row r="32" ht="15.75" customHeight="1">
      <x:c r="A32" s="43" t="s">
        <x:v>316</x:v>
      </x:c>
      <x:c r="B32" s="43" t="s">
        <x:v>334</x:v>
      </x:c>
      <x:c r="C32" s="43" t="s">
        <x:v>335</x:v>
      </x:c>
      <x:c r="D32" s="43" t="s">
        <x:v>329</x:v>
      </x:c>
      <x:c r="E32" s="44" t="s">
        <x:v>336</x:v>
      </x:c>
    </x:row>
    <x:row r="33" ht="15.75" customHeight="1">
      <x:c r="A33" s="43" t="s">
        <x:v>316</x:v>
      </x:c>
      <x:c r="B33" s="43" t="s">
        <x:v>337</x:v>
      </x:c>
      <x:c r="C33" s="43" t="s">
        <x:v>338</x:v>
      </x:c>
      <x:c r="D33" s="43" t="s">
        <x:v>339</x:v>
      </x:c>
      <x:c r="E33" s="44" t="s">
        <x:v>336</x:v>
      </x:c>
    </x:row>
    <x:row r="34" ht="15.75" customHeight="1">
      <x:c r="A34" s="43" t="s">
        <x:v>316</x:v>
      </x:c>
      <x:c r="B34" s="43" t="s">
        <x:v>340</x:v>
      </x:c>
      <x:c r="C34" s="43" t="s">
        <x:v>341</x:v>
      </x:c>
      <x:c r="D34" s="43" t="s">
        <x:v>342</x:v>
      </x:c>
      <x:c r="E34" s="44" t="s">
        <x:v>343</x:v>
      </x:c>
    </x:row>
    <x:row r="35" ht="15.75" customHeight="1">
      <x:c r="A35" s="43" t="s">
        <x:v>344</x:v>
      </x:c>
      <x:c r="B35" s="43" t="s">
        <x:v>345</x:v>
      </x:c>
      <x:c r="C35" s="43" t="s">
        <x:v>346</x:v>
      </x:c>
      <x:c r="D35" s="43" t="s">
        <x:v>347</x:v>
      </x:c>
      <x:c r="E35" s="44" t="s">
        <x:v>348</x:v>
      </x:c>
    </x:row>
    <x:row r="36" ht="15.75" customHeight="1">
      <x:c r="A36" s="43" t="s">
        <x:v>344</x:v>
      </x:c>
      <x:c r="B36" s="43" t="s">
        <x:v>349</x:v>
      </x:c>
      <x:c r="C36" s="43" t="s">
        <x:v>350</x:v>
      </x:c>
      <x:c r="D36" s="43" t="s">
        <x:v>347</x:v>
      </x:c>
      <x:c r="E36" s="44" t="s">
        <x:v>351</x:v>
      </x:c>
    </x:row>
    <x:row r="37" ht="15.75" customHeight="1">
      <x:c r="A37" s="43" t="s">
        <x:v>344</x:v>
      </x:c>
      <x:c r="B37" s="43" t="s">
        <x:v>352</x:v>
      </x:c>
      <x:c r="C37" s="43" t="s">
        <x:v>353</x:v>
      </x:c>
      <x:c r="D37" s="43" t="s">
        <x:v>347</x:v>
      </x:c>
      <x:c r="E37" s="44" t="s">
        <x:v>354</x:v>
      </x:c>
    </x:row>
    <x:row r="38" ht="15.75" customHeight="1">
      <x:c r="A38" s="43" t="s">
        <x:v>344</x:v>
      </x:c>
      <x:c r="B38" s="43" t="s">
        <x:v>355</x:v>
      </x:c>
      <x:c r="C38" s="43" t="s">
        <x:v>356</x:v>
      </x:c>
      <x:c r="D38" s="43" t="s">
        <x:v>170</x:v>
      </x:c>
      <x:c r="E38" s="44" t="s">
        <x:v>351</x:v>
      </x:c>
    </x:row>
    <x:row r="39" ht="15.75" customHeight="1">
      <x:c r="A39" s="43" t="s">
        <x:v>344</x:v>
      </x:c>
      <x:c r="B39" s="43" t="s">
        <x:v>357</x:v>
      </x:c>
      <x:c r="C39" s="43" t="s">
        <x:v>358</x:v>
      </x:c>
      <x:c r="D39" s="43" t="s">
        <x:v>359</x:v>
      </x:c>
      <x:c r="E39" s="44" t="s">
        <x:v>360</x:v>
      </x:c>
    </x:row>
    <x:row r="40" ht="15.75" customHeight="1">
      <x:c r="A40" s="43" t="s">
        <x:v>344</x:v>
      </x:c>
      <x:c r="B40" s="43" t="s">
        <x:v>361</x:v>
      </x:c>
      <x:c r="C40" s="43" t="s">
        <x:v>362</x:v>
      </x:c>
      <x:c r="D40" s="43" t="s">
        <x:v>363</x:v>
      </x:c>
      <x:c r="E40" s="44" t="s">
        <x:v>364</x:v>
      </x:c>
    </x:row>
    <x:row r="41" ht="15.75" customHeight="1">
      <x:c r="A41" s="43" t="s">
        <x:v>344</x:v>
      </x:c>
      <x:c r="B41" s="43" t="s">
        <x:v>365</x:v>
      </x:c>
      <x:c r="C41" s="43" t="s">
        <x:v>366</x:v>
      </x:c>
      <x:c r="D41" s="43" t="s">
        <x:v>367</x:v>
      </x:c>
      <x:c r="E41" s="44" t="s">
        <x:v>368</x:v>
      </x:c>
    </x:row>
    <x:row r="42" ht="15.75" customHeight="1"/>
    <x:row r="43" ht="15.75" customHeight="1">
      <x:c r="A43" s="3" t="s">
        <x:v>369</x:v>
      </x:c>
    </x:row>
    <x:row r="44" ht="15.75" customHeight="1"/>
    <x:row r="45" ht="15.75" customHeight="1">
      <x:c r="A45" s="73" t="str">
        <x:v>NGUỒN KIỂM TRA 12/10/2026</x:v>
      </x:c>
      <x:c r="B45" s="73"/>
      <x:c r="C45" s="73"/>
      <x:c r="D45" s="73"/>
      <x:c r="E45" s="73"/>
    </x:row>
    <x:row r="46" ht="58" customHeight="1">
      <x:c r="A46" s="60" t="str">
        <x:v>LLM đang dùng</x:v>
      </x:c>
      <x:c r="B46" s="60" t="str">
        <x:v>Claude Haiku 4.5</x:v>
      </x:c>
      <x:c r="C46" s="60" t="str">
        <x:v>$1 input / $5 output</x:v>
      </x:c>
      <x:c r="D46" s="60" t="str">
        <x:v>/1M tokens</x:v>
      </x:c>
      <x:c r="E46" s="60" t="str">
        <x:v>https://platform.claude.com/docs/en/about-claude/pricing</x:v>
      </x:c>
    </x:row>
    <x:row r="47" ht="58" customHeight="1">
      <x:c r="A47" s="60" t="str">
        <x:v>Cache (không dùng)</x:v>
      </x:c>
      <x:c r="B47" s="60" t="str">
        <x:v>Haiku 4.5 5m write/read</x:v>
      </x:c>
      <x:c r="C47" s="60" t="str">
        <x:v>$1,25 / $0,10</x:v>
      </x:c>
      <x:c r="D47" s="60" t="str">
        <x:v>/1M tokens</x:v>
      </x:c>
      <x:c r="E47" s="60" t="str">
        <x:v>https://platform.claude.com/docs/en/about-claude/pricing</x:v>
      </x:c>
    </x:row>
    <x:row r="48" ht="58" customHeight="1">
      <x:c r="A48" s="60" t="str">
        <x:v>Batch (không dùng)</x:v>
      </x:c>
      <x:c r="B48" s="60" t="str">
        <x:v>Haiku 4.5 batch</x:v>
      </x:c>
      <x:c r="C48" s="60" t="str">
        <x:v>Giảm 50% input/output</x:v>
      </x:c>
      <x:c r="D48" s="60" t="str">
        <x:v>async</x:v>
      </x:c>
      <x:c r="E48" s="60" t="str">
        <x:v>https://platform.claude.com/docs/en/about-claude/pricing</x:v>
      </x:c>
    </x:row>
    <x:row r="49" ht="58" customHeight="1">
      <x:c r="A49" s="60" t="str">
        <x:v>Sản phẩm notes</x:v>
      </x:c>
      <x:c r="B49" s="60" t="str">
        <x:v>Notion Business</x:v>
      </x:c>
      <x:c r="C49" s="60" t="str">
        <x:v>$20/member/tháng</x:v>
      </x:c>
      <x:c r="D49" s="60" t="str">
        <x:v>giá hiển thị</x:v>
      </x:c>
      <x:c r="E49" s="60" t="str">
        <x:v>https://www.notion.com/pricing</x:v>
      </x:c>
    </x:row>
    <x:row r="50" ht="58" customHeight="1">
      <x:c r="A50" s="60" t="str">
        <x:v>Custom Agents</x:v>
      </x:c>
      <x:c r="B50" s="60" t="str">
        <x:v>Notion credits</x:v>
      </x:c>
      <x:c r="C50" s="60" t="str">
        <x:v>$10/1.000 credits</x:v>
      </x:c>
      <x:c r="D50" s="60" t="str">
        <x:v>usage bổ sung</x:v>
      </x:c>
      <x:c r="E50" s="60" t="str">
        <x:v>https://www.notion.com/pricing</x:v>
      </x:c>
    </x:row>
    <x:row r="51" ht="58" customHeight="1">
      <x:c r="A51" s="60" t="str">
        <x:v>Reading/notes</x:v>
      </x:c>
      <x:c r="B51" s="60" t="str">
        <x:v>Readwise Full</x:v>
      </x:c>
      <x:c r="C51" s="60" t="str">
        <x:v>$12,99 tháng; $9,99 tháng trả năm</x:v>
      </x:c>
      <x:c r="D51" s="60" t="str">
        <x:v>subscription</x:v>
      </x:c>
      <x:c r="E51" s="60" t="str">
        <x:v>https://readwise.io/pricing</x:v>
      </x:c>
    </x:row>
    <x:row r="52" ht="58" customHeight="1">
      <x:c r="A52" s="60" t="str">
        <x:v>Tỷ giá thanh toán</x:v>
      </x:c>
      <x:c r="B52" s="60" t="str">
        <x:v>VCB USD bán</x:v>
      </x:c>
      <x:c r="C52" s="60" t="n">
        <x:v>26070</x:v>
      </x:c>
      <x:c r="D52" s="60" t="str">
        <x:v>VND/USD</x:v>
      </x:c>
      <x:c r="E52" s="60" t="str">
        <x:v>https://portal.vietcombank.com.vn/Usercontrols/TVPortal.TyGia/pXML.aspx</x:v>
      </x:c>
    </x:row>
    <x:row r="53" ht="58" customHeight="1">
      <x:c r="A53" s="60" t="str">
        <x:v>Ngày tỷ giá</x:v>
      </x:c>
      <x:c r="B53" s="60" t="str">
        <x:v>XML VCB 09:20 ngày 12/10/2026</x:v>
      </x:c>
      <x:c r="C53" s="60" t="str">
        <x:v>Dùng giá bán USD để trả API</x:v>
      </x:c>
      <x:c r="D53" s="60" t="str">
        <x:v>không phải 26.000 giả định</x:v>
      </x:c>
      <x:c r="E53" s="60" t="str">
        <x:v>https://www.vietcombank.com.vn/vi-VN/KHCN/Cong-cu-tien-ich/Ty-gia</x:v>
      </x:c>
    </x:row>
    <x:row r="54" ht="58" customHeight="1">
      <x:c r="A54" s="60" t="str">
        <x:v>Trạng thái giá API</x:v>
      </x:c>
      <x:c r="B54" s="60" t="str">
        <x:v>Giá list Haiku 4.5</x:v>
      </x:c>
      <x:c r="C54" s="60" t="str">
        <x:v>Không có promo được nêu trên trang giá cho dòng dùng</x:v>
      </x:c>
      <x:c r="D54" s="60" t="str">
        <x:v>kiểm lại mỗi tháng</x:v>
      </x:c>
      <x:c r="E54" s="60" t="str">
        <x:v>https://platform.claude.com/docs/en/about-claude/pricing</x:v>
      </x:c>
    </x:row>
    <x:row r="55" ht="15.75" customHeight="1">
      <x:c r="A55" s="62"/>
      <x:c r="B55" s="62"/>
      <x:c r="C55" s="62"/>
      <x:c r="D55" s="62"/>
      <x:c r="E55" s="62"/>
    </x:row>
    <x:row r="56" ht="15.75" customHeight="1">
      <x:c r="A56" s="75" t="str">
        <x:v>GIẢ ĐỊNH CHƯA ĐO VÀ CĂN CỨ</x:v>
      </x:c>
      <x:c r="B56" s="75"/>
      <x:c r="C56" s="75"/>
      <x:c r="D56" s="75"/>
      <x:c r="E56" s="75"/>
    </x:row>
    <x:row r="57" ht="44" customHeight="1">
      <x:c r="A57" s="62" t="str">
        <x:v>1.200 attempts / R70%</x:v>
      </x:c>
      <x:c r="B57" s="60" t="str">
        <x:v>Quy mô mô phỏng 70 paid × 12 note / 70%; đo lại bằng log. Không phải eval.</x:v>
      </x:c>
      <x:c r="C57" s="62"/>
      <x:c r="D57" s="62"/>
      <x:c r="E57" s="62"/>
    </x:row>
    <x:row r="58" ht="44" customHeight="1">
      <x:c r="A58" s="62" t="str">
        <x:v>Token / turns / retry</x:v>
      </x:c>
      <x:c r="B58" s="60" t="str">
        <x:v>2 calls bình thường ×(2.400 input +800 output). Retry10% kỳ vọng; cap3retryjob/gói. Max50calls.</x:v>
      </x:c>
      <x:c r="C58" s="62"/>
      <x:c r="D58" s="62"/>
      <x:c r="E58" s="62"/>
    </x:row>
    <x:row r="59" ht="44" customHeight="1">
      <x:c r="A59" s="62" t="str">
        <x:v>Infra $0,045/attempt</x:v>
      </x:c>
      <x:c r="B59" s="60" t="str">
        <x:v>$0,020 hosting/DB/storage + $0,010 observability/eval + $0,015 payment/refund reserve.</x:v>
      </x:c>
      <x:c r="C59" s="62"/>
      <x:c r="D59" s="62"/>
      <x:c r="E59" s="62"/>
    </x:row>
    <x:row r="60" ht="48" customHeight="1">
      <x:c r="A60" s="62" t="str">
        <x:v>QA + support $0,08/attempt</x:v>
      </x:c>
      <x:c r="B60" s="60" t="str">
        <x:v>10% × (3phút QA +3phút support workflow) /60 × $8/h. Base $48 QA +$48 support/tháng.</x:v>
      </x:c>
      <x:c r="C60" s="62"/>
      <x:c r="D60" s="62"/>
      <x:c r="E60" s="62"/>
    </x:row>
    <x:row r="61" ht="44" customHeight="1">
      <x:c r="A61" s="62" t="str">
        <x:v>Overhead $84/tháng</x:v>
      </x:c>
      <x:c r="B61" s="60" t="str">
        <x:v>10,5h R&amp;D/admin × $8/h. Acquisition $840 của 90 ngày được xem riêng, không đưa vào COGS.</x:v>
      </x:c>
      <x:c r="C61" s="62"/>
      <x:c r="D61" s="62"/>
      <x:c r="E61" s="62"/>
    </x:row>
    <x:row r="62" ht="44" customHeight="1">
      <x:c r="A62" s="62" t="str">
        <x:v>20phút tiết kiệm/note</x:v>
      </x:c>
      <x:c r="B62" s="60" t="str">
        <x:v>Giả thuyết cần pilot so sánh tay; không là số đo. $8/h là opportunity-cost giả định.</x:v>
      </x:c>
      <x:c r="C62" s="62"/>
      <x:c r="D62" s="62"/>
      <x:c r="E62" s="62"/>
    </x:row>
    <x:row r="63" ht="44" customHeight="1">
      <x:c r="A63" s="62" t="str">
        <x:v>Sales CPO $300/win20%</x:v>
      </x:c>
      <x:c r="B63" s="60" t="str">
        <x:v>Giả định bottom-up 5h ×$8 + $260 cash/opportunity. Không dùng ICONIQ như local benchmark.</x:v>
      </x:c>
      <x:c r="C63" s="62"/>
      <x:c r="D63" s="62"/>
      <x:c r="E63" s="62"/>
    </x:row>
    <x:row r="64" ht="44" customHeight="1">
      <x:c r="A64" s="62" t="str">
        <x:v>QuotaAE $120k/cost$24k</x:v>
      </x:c>
      <x:c r="B64" s="60" t="str">
        <x:v>Giả định kiểm tính khả thi, quota 5× cost. Không phải dữ liệu lương thị trường.</x:v>
      </x:c>
      <x:c r="C64" s="62"/>
      <x:c r="D64" s="62"/>
      <x:c r="E64" s="62"/>
    </x:row>
    <x:row r="65" ht="44" customHeight="1">
      <x:c r="A65" s="62" t="str">
        <x:v>CAC PLG $12</x:v>
      </x:c>
      <x:c r="B65" s="60" t="str">
        <x:v>Budget $840/70 paid = $12, cash420 +52,5h×$8. Đích kiểm chứng, chưa đạt.</x:v>
      </x:c>
      <x:c r="C65" s="62"/>
      <x:c r="D65" s="62"/>
      <x:c r="E65" s="62"/>
    </x:row>
    <x:row r="66" ht="44" customHeight="1">
      <x:c r="A66" s="62" t="str">
        <x:v>Evidence thật</x:v>
      </x:c>
      <x:c r="B66" s="60" t="str">
        <x:v>Day18/20:2/2 preference B, prototype canned. Không có causal eval, WTP hoặc paid pilot.</x:v>
      </x:c>
      <x:c r="C66" s="62"/>
      <x:c r="D66" s="62"/>
      <x:c r="E66" s="62"/>
    </x:row>
    <x:row r="67" ht="44" customHeight="1">
      <x:c r="A67" s="62" t="str">
        <x:v>Không bán Outcome</x:v>
      </x:c>
      <x:c r="B67" s="60" t="str">
        <x:v>Note saved là usage quan sát được, không phải cam kết hiểu bài/học tốt. R có người duyệt.</x:v>
      </x:c>
      <x:c r="C67" s="62"/>
      <x:c r="D67" s="62"/>
      <x:c r="E67" s="62"/>
    </x:row>
    <x:row r="68" ht="44" customHeight="1">
      <x:c r="A68" s="62" t="str">
        <x:v>Điều kiện margin</x:v>
      </x:c>
      <x:c r="B68" s="60" t="str">
        <x:v>Bội số3× dựa COGS gồm support. Margin sau overhead55,20% còn dưới mục tiêu60%.</x:v>
      </x:c>
      <x:c r="C68" s="62"/>
      <x:c r="D68" s="62"/>
      <x:c r="E68" s="62"/>
    </x:row>
    <x:row r="69" ht="44" customHeight="1">
      <x:c r="A69" s="62" t="str">
        <x:v>Nguồn nội bộ</x:v>
      </x:c>
      <x:c r="B69" s="60" t="str">
        <x:v>Day20 metrics-pack.md; Day18 group-feedback-synthesis.md và day17-input-pack.md.</x:v>
      </x:c>
      <x:c r="C69" s="62"/>
      <x:c r="D69" s="62"/>
      <x:c r="E69" s="62"/>
    </x:row>
    <x:row r="70" ht="44" customHeight="1">
      <x:c r="A70" s="62" t="str">
        <x:v>Promo/list stress</x:v>
      </x:c>
      <x:c r="B70" s="60" t="str">
        <x:v>Base dùng list, nên list=base. Có thêm stress giá LLM2× tại 2_Pricing!B64:B65.</x:v>
      </x:c>
      <x:c r="C70" s="62"/>
      <x:c r="D70" s="62"/>
      <x:c r="E70" s="62"/>
    </x:row>
    <x:row r="71" ht="15.75" customHeight="1"/>
    <x:row r="72" ht="15.75" customHeight="1"/>
    <x:row r="73" ht="15.75" customHeight="1"/>
    <x:row r="74" ht="15.75" customHeight="1"/>
    <x:row r="75" ht="15.75" customHeight="1"/>
    <x:row r="76" ht="15.75" customHeight="1"/>
    <x:row r="77" ht="15.75" customHeight="1"/>
    <x:row r="78" ht="15.75" customHeight="1"/>
    <x:row r="79" ht="15.75" customHeight="1"/>
    <x:row r="80" ht="15.75" customHeight="1"/>
    <x:row r="81" ht="15.75" customHeight="1"/>
    <x:row r="82" ht="15.75" customHeight="1"/>
    <x:row r="83" ht="15.75" customHeight="1"/>
    <x:row r="84" ht="15.75" customHeight="1"/>
    <x:row r="85" ht="15.75" customHeight="1"/>
    <x:row r="86" ht="15.75" customHeight="1"/>
    <x:row r="87" ht="15.75" customHeight="1"/>
    <x:row r="88" ht="15.75" customHeight="1"/>
    <x:row r="89" ht="15.75" customHeight="1"/>
    <x:row r="90" ht="15.75" customHeight="1"/>
    <x:row r="91" ht="15.75" customHeight="1"/>
    <x:row r="92" ht="15.75" customHeight="1"/>
    <x:row r="93" ht="15.75" customHeight="1"/>
    <x:row r="94" ht="15.75" customHeight="1"/>
    <x:row r="95" ht="15.75" customHeight="1"/>
    <x:row r="96" ht="15.75" customHeight="1"/>
    <x:row r="97" ht="15.75" customHeight="1"/>
    <x:row r="98" ht="15.75" customHeight="1"/>
    <x:row r="99" ht="15.75" customHeight="1"/>
    <x:row r="100" ht="15.75" customHeight="1"/>
    <x:row r="101" ht="15.75" customHeight="1"/>
    <x:row r="102" ht="15.75" customHeight="1"/>
    <x:row r="103" ht="15.75" customHeight="1"/>
    <x:row r="104" ht="15.75" customHeight="1"/>
    <x:row r="105" ht="15.75" customHeight="1"/>
    <x:row r="106" ht="15.75" customHeight="1"/>
    <x:row r="107" ht="15.75" customHeight="1"/>
    <x:row r="108" ht="15.75" customHeight="1"/>
    <x:row r="109" ht="15.75" customHeight="1"/>
    <x:row r="110" ht="15.75" customHeight="1"/>
    <x:row r="111" ht="15.75" customHeight="1"/>
    <x:row r="112" ht="15.75" customHeight="1"/>
    <x:row r="113" ht="15.75" customHeight="1"/>
    <x:row r="114" ht="15.75" customHeight="1"/>
    <x:row r="115" ht="15.75" customHeight="1"/>
    <x:row r="116" ht="15.75" customHeight="1"/>
    <x:row r="117" ht="15.75" customHeight="1"/>
    <x:row r="118" ht="15.75" customHeight="1"/>
    <x:row r="119" ht="15.75" customHeight="1"/>
    <x:row r="120" ht="15.75" customHeight="1"/>
    <x:row r="121" ht="15.75" customHeight="1"/>
    <x:row r="122" ht="15.75" customHeight="1"/>
    <x:row r="123" ht="15.75" customHeight="1"/>
    <x:row r="124" ht="15.75" customHeight="1"/>
    <x:row r="125" ht="15.75" customHeight="1"/>
    <x:row r="126" ht="15.75" customHeight="1"/>
    <x:row r="127" ht="15.75" customHeight="1"/>
    <x:row r="128" ht="15.75" customHeight="1"/>
    <x:row r="129" ht="15.75" customHeight="1"/>
    <x:row r="130" ht="15.75" customHeight="1"/>
    <x:row r="131" ht="15.75" customHeight="1"/>
    <x:row r="132" ht="15.75" customHeight="1"/>
    <x:row r="133" ht="15.75" customHeight="1"/>
    <x:row r="134" ht="15.75" customHeight="1"/>
    <x:row r="135" ht="15.75" customHeight="1"/>
    <x:row r="136" ht="15.75" customHeight="1"/>
    <x:row r="137" ht="15.75" customHeight="1"/>
    <x:row r="138" ht="15.75" customHeight="1"/>
    <x:row r="139" ht="15.75" customHeight="1"/>
    <x:row r="140" ht="15.75" customHeight="1"/>
    <x:row r="141" ht="15.75" customHeight="1"/>
    <x:row r="142" ht="15.75" customHeight="1"/>
    <x:row r="143" ht="15.75" customHeight="1"/>
    <x:row r="144" ht="15.75" customHeight="1"/>
    <x:row r="145" ht="15.75" customHeight="1"/>
    <x:row r="146" ht="15.75" customHeight="1"/>
    <x:row r="147" ht="15.75" customHeight="1"/>
    <x:row r="148" ht="15.75" customHeight="1"/>
    <x:row r="149" ht="15.75" customHeight="1"/>
    <x:row r="150" ht="15.75" customHeight="1"/>
    <x:row r="151" ht="15.75" customHeight="1"/>
    <x:row r="152" ht="15.75" customHeight="1"/>
    <x:row r="153" ht="15.75" customHeight="1"/>
    <x:row r="154" ht="15.75" customHeight="1"/>
    <x:row r="155" ht="15.75" customHeight="1"/>
    <x:row r="156" ht="15.75" customHeight="1"/>
    <x:row r="157" ht="15.75" customHeight="1"/>
    <x:row r="158" ht="15.75" customHeight="1"/>
    <x:row r="159" ht="15.75" customHeight="1"/>
    <x:row r="160" ht="15.75" customHeight="1"/>
    <x:row r="161" ht="15.75" customHeight="1"/>
    <x:row r="162" ht="15.75" customHeight="1"/>
    <x:row r="163" ht="15.75" customHeight="1"/>
    <x:row r="164" ht="15.75" customHeight="1"/>
    <x:row r="165" ht="15.75" customHeight="1"/>
    <x:row r="166" ht="15.75" customHeight="1"/>
    <x:row r="167" ht="15.75" customHeight="1"/>
    <x:row r="168" ht="15.75" customHeight="1"/>
    <x:row r="169" ht="15.75" customHeight="1"/>
    <x:row r="170" ht="15.75" customHeight="1"/>
    <x:row r="171" ht="15.75" customHeight="1"/>
    <x:row r="172" ht="15.75" customHeight="1"/>
    <x:row r="173" ht="15.75" customHeight="1"/>
    <x:row r="174" ht="15.75" customHeight="1"/>
    <x:row r="175" ht="15.75" customHeight="1"/>
    <x:row r="176" ht="15.75" customHeight="1"/>
    <x:row r="177" ht="15.75" customHeight="1"/>
    <x:row r="178" ht="15.75" customHeight="1"/>
    <x:row r="179" ht="15.75" customHeight="1"/>
    <x:row r="180" ht="15.75" customHeight="1"/>
    <x:row r="181" ht="15.75" customHeight="1"/>
    <x:row r="182" ht="15.75" customHeight="1"/>
    <x:row r="183" ht="15.75" customHeight="1"/>
    <x:row r="184" ht="15.75" customHeight="1"/>
    <x:row r="185" ht="15.75" customHeight="1"/>
    <x:row r="186" ht="15.75" customHeight="1"/>
    <x:row r="187" ht="15.75" customHeight="1"/>
    <x:row r="188" ht="15.75" customHeight="1"/>
    <x:row r="189" ht="15.75" customHeight="1"/>
    <x:row r="190" ht="15.75" customHeight="1"/>
    <x:row r="191" ht="15.75" customHeight="1"/>
    <x:row r="192" ht="15.75" customHeight="1"/>
    <x:row r="193" ht="15.75" customHeight="1"/>
    <x:row r="194" ht="15.75" customHeight="1"/>
    <x:row r="195" ht="15.75" customHeight="1"/>
    <x:row r="196" ht="15.75" customHeight="1"/>
    <x:row r="197" ht="15.75" customHeight="1"/>
    <x:row r="198" ht="15.75" customHeight="1"/>
    <x:row r="199" ht="15.75" customHeight="1"/>
    <x:row r="200" ht="15.75" customHeight="1"/>
    <x:row r="201" ht="15.75" customHeight="1"/>
    <x:row r="202" ht="15.75" customHeight="1"/>
    <x:row r="203" ht="15.75" customHeight="1"/>
    <x:row r="204" ht="15.75" customHeight="1"/>
    <x:row r="205" ht="15.75" customHeight="1"/>
    <x:row r="206" ht="15.75" customHeight="1"/>
    <x:row r="207" ht="15.75" customHeight="1"/>
    <x:row r="208" ht="15.75" customHeight="1"/>
    <x:row r="209" ht="15.75" customHeight="1"/>
    <x:row r="210" ht="15.75" customHeight="1"/>
    <x:row r="211" ht="15.75" customHeight="1"/>
    <x:row r="212" ht="15.75" customHeight="1"/>
    <x:row r="213" ht="15.75" customHeight="1"/>
    <x:row r="214" ht="15.75" customHeight="1"/>
    <x:row r="215" ht="15.75" customHeight="1"/>
    <x:row r="216" ht="15.75" customHeight="1"/>
    <x:row r="217" ht="15.75" customHeight="1"/>
    <x:row r="218" ht="15.75" customHeight="1"/>
    <x:row r="219" ht="15.75" customHeight="1"/>
    <x:row r="220" ht="15.75" customHeight="1"/>
    <x:row r="221" ht="15.75" customHeight="1"/>
    <x:row r="222" ht="15.75" customHeight="1"/>
    <x:row r="223" ht="15.75" customHeight="1"/>
    <x:row r="224" ht="15.75" customHeight="1"/>
    <x:row r="225" ht="15.75" customHeight="1"/>
    <x:row r="226" ht="15.75" customHeight="1"/>
    <x:row r="227" ht="15.75" customHeight="1"/>
    <x:row r="228" ht="15.75" customHeight="1"/>
    <x:row r="229" ht="15.75" customHeight="1"/>
    <x:row r="230" ht="15.75" customHeight="1"/>
    <x:row r="231" ht="15.75" customHeight="1"/>
    <x:row r="232" ht="15.75" customHeight="1"/>
    <x:row r="233" ht="15.75" customHeight="1"/>
    <x:row r="234" ht="15.75" customHeight="1"/>
    <x:row r="235" ht="15.75" customHeight="1"/>
    <x:row r="236" ht="15.75" customHeight="1"/>
    <x:row r="237" ht="15.75" customHeight="1"/>
    <x:row r="238" ht="15.75" customHeight="1"/>
    <x:row r="239" ht="15.75" customHeight="1"/>
    <x:row r="240" ht="15.75" customHeight="1"/>
    <x:row r="241" ht="15.75" customHeight="1"/>
    <x:row r="242" ht="15.75" customHeight="1"/>
    <x:row r="243" ht="15.75" customHeight="1"/>
    <x:row r="244" ht="15.75" customHeight="1"/>
    <x:row r="245" ht="15.75" customHeight="1"/>
    <x:row r="246" ht="15.75" customHeight="1"/>
    <x:row r="247" ht="15.75" customHeight="1"/>
    <x:row r="248" ht="15.75" customHeight="1"/>
    <x:row r="249" ht="15.75" customHeight="1"/>
    <x:row r="250" ht="15.75" customHeight="1"/>
    <x:row r="251" ht="15.75" customHeight="1"/>
    <x:row r="252" ht="15.75" customHeight="1"/>
    <x:row r="253" ht="15.75" customHeight="1"/>
    <x:row r="254" ht="15.75" customHeight="1"/>
    <x:row r="255" ht="15.75" customHeight="1"/>
    <x:row r="256" ht="15.75" customHeight="1"/>
    <x:row r="257" ht="15.75" customHeight="1"/>
    <x:row r="258" ht="15.75" customHeight="1"/>
    <x:row r="259" ht="15.75" customHeight="1"/>
    <x:row r="260" ht="15.75" customHeight="1"/>
    <x:row r="261" ht="15.75" customHeight="1"/>
    <x:row r="262" ht="15.75" customHeight="1"/>
    <x:row r="263" ht="15.75" customHeight="1"/>
    <x:row r="264" ht="15.75" customHeight="1"/>
    <x:row r="265" ht="15.75" customHeight="1"/>
    <x:row r="266" ht="15.75" customHeight="1"/>
    <x:row r="267" ht="15.75" customHeight="1"/>
    <x:row r="268" ht="15.75" customHeight="1"/>
    <x:row r="269" ht="15.75" customHeight="1"/>
    <x:row r="270" ht="15.75" customHeight="1"/>
    <x:row r="271" ht="15.75" customHeight="1"/>
    <x:row r="272" ht="15.75" customHeight="1"/>
    <x:row r="273" ht="15.75" customHeight="1"/>
    <x:row r="274" ht="15.75" customHeight="1"/>
    <x:row r="275" ht="15.75" customHeight="1"/>
    <x:row r="276" ht="15.75" customHeight="1"/>
    <x:row r="277" ht="15.75" customHeight="1"/>
    <x:row r="278" ht="15.75" customHeight="1"/>
    <x:row r="279" ht="15.75" customHeight="1"/>
    <x:row r="280" ht="15.75" customHeight="1"/>
    <x:row r="281" ht="15.75" customHeight="1"/>
    <x:row r="282" ht="15.75" customHeight="1"/>
    <x:row r="283" ht="15.75" customHeight="1"/>
    <x:row r="284" ht="15.75" customHeight="1"/>
    <x:row r="285" ht="15.75" customHeight="1"/>
    <x:row r="286" ht="15.75" customHeight="1"/>
    <x:row r="287" ht="15.75" customHeight="1"/>
    <x:row r="288" ht="15.75" customHeight="1"/>
    <x:row r="289" ht="15.75" customHeight="1"/>
    <x:row r="290" ht="15.75" customHeight="1"/>
    <x:row r="291" ht="15.75" customHeight="1"/>
    <x:row r="292" ht="15.75" customHeight="1"/>
    <x:row r="293" ht="15.75" customHeight="1"/>
    <x:row r="294" ht="15.75" customHeight="1"/>
    <x:row r="295" ht="15.75" customHeight="1"/>
    <x:row r="296" ht="15.75" customHeight="1"/>
    <x:row r="297" ht="15.75" customHeight="1"/>
    <x:row r="298" ht="15.75" customHeight="1"/>
    <x:row r="299" ht="15.75" customHeight="1"/>
    <x:row r="300" ht="15.75" customHeight="1"/>
    <x:row r="301" ht="15.75" customHeight="1"/>
    <x:row r="302" ht="15.75" customHeight="1"/>
    <x:row r="303" ht="15.75" customHeight="1"/>
    <x:row r="304" ht="15.75" customHeight="1"/>
    <x:row r="305" ht="15.75" customHeight="1"/>
    <x:row r="306" ht="15.75" customHeight="1"/>
    <x:row r="307" ht="15.75" customHeight="1"/>
    <x:row r="308" ht="15.75" customHeight="1"/>
    <x:row r="309" ht="15.75" customHeight="1"/>
    <x:row r="310" ht="15.75" customHeight="1"/>
    <x:row r="311" ht="15.75" customHeight="1"/>
    <x:row r="312" ht="15.75" customHeight="1"/>
    <x:row r="313" ht="15.75" customHeight="1"/>
    <x:row r="314" ht="15.75" customHeight="1"/>
    <x:row r="315" ht="15.75" customHeight="1"/>
    <x:row r="316" ht="15.75" customHeight="1"/>
    <x:row r="317" ht="15.75" customHeight="1"/>
    <x:row r="318" ht="15.75" customHeight="1"/>
    <x:row r="319" ht="15.75" customHeight="1"/>
    <x:row r="320" ht="15.75" customHeight="1"/>
    <x:row r="321" ht="15.75" customHeight="1"/>
    <x:row r="322" ht="15.75" customHeight="1"/>
    <x:row r="323" ht="15.75" customHeight="1"/>
    <x:row r="324" ht="15.75" customHeight="1"/>
    <x:row r="325" ht="15.75" customHeight="1"/>
    <x:row r="326" ht="15.75" customHeight="1"/>
    <x:row r="327" ht="15.75" customHeight="1"/>
    <x:row r="328" ht="15.75" customHeight="1"/>
    <x:row r="329" ht="15.75" customHeight="1"/>
    <x:row r="330" ht="15.75" customHeight="1"/>
    <x:row r="331" ht="15.75" customHeight="1"/>
    <x:row r="332" ht="15.75" customHeight="1"/>
    <x:row r="333" ht="15.75" customHeight="1"/>
    <x:row r="334" ht="15.75" customHeight="1"/>
    <x:row r="335" ht="15.75" customHeight="1"/>
    <x:row r="336" ht="15.75" customHeight="1"/>
    <x:row r="337" ht="15.75" customHeight="1"/>
    <x:row r="338" ht="15.75" customHeight="1"/>
    <x:row r="339" ht="15.75" customHeight="1"/>
    <x:row r="340" ht="15.75" customHeight="1"/>
    <x:row r="341" ht="15.75" customHeight="1"/>
    <x:row r="342" ht="15.75" customHeight="1"/>
    <x:row r="343" ht="15.75" customHeight="1"/>
    <x:row r="344" ht="15.75" customHeight="1"/>
    <x:row r="345" ht="15.75" customHeight="1"/>
    <x:row r="346" ht="15.75" customHeight="1"/>
    <x:row r="347" ht="15.75" customHeight="1"/>
    <x:row r="348" ht="15.75" customHeight="1"/>
    <x:row r="349" ht="15.75" customHeight="1"/>
    <x:row r="350" ht="15.75" customHeight="1"/>
    <x:row r="351" ht="15.75" customHeight="1"/>
    <x:row r="352" ht="15.75" customHeight="1"/>
    <x:row r="353" ht="15.75" customHeight="1"/>
    <x:row r="354" ht="15.75" customHeight="1"/>
    <x:row r="355" ht="15.75" customHeight="1"/>
    <x:row r="356" ht="15.75" customHeight="1"/>
    <x:row r="357" ht="15.75" customHeight="1"/>
    <x:row r="358" ht="15.75" customHeight="1"/>
    <x:row r="359" ht="15.75" customHeight="1"/>
    <x:row r="360" ht="15.75" customHeight="1"/>
    <x:row r="361" ht="15.75" customHeight="1"/>
    <x:row r="362" ht="15.75" customHeight="1"/>
    <x:row r="363" ht="15.75" customHeight="1"/>
    <x:row r="364" ht="15.75" customHeight="1"/>
    <x:row r="365" ht="15.75" customHeight="1"/>
    <x:row r="366" ht="15.75" customHeight="1"/>
    <x:row r="367" ht="15.75" customHeight="1"/>
    <x:row r="368" ht="15.75" customHeight="1"/>
    <x:row r="369" ht="15.75" customHeight="1"/>
    <x:row r="370" ht="15.75" customHeight="1"/>
    <x:row r="371" ht="15.75" customHeight="1"/>
    <x:row r="372" ht="15.75" customHeight="1"/>
    <x:row r="373" ht="15.75" customHeight="1"/>
    <x:row r="374" ht="15.75" customHeight="1"/>
    <x:row r="375" ht="15.75" customHeight="1"/>
    <x:row r="376" ht="15.75" customHeight="1"/>
    <x:row r="377" ht="15.75" customHeight="1"/>
    <x:row r="378" ht="15.75" customHeight="1"/>
    <x:row r="379" ht="15.75" customHeight="1"/>
    <x:row r="380" ht="15.75" customHeight="1"/>
    <x:row r="381" ht="15.75" customHeight="1"/>
    <x:row r="382" ht="15.75" customHeight="1"/>
    <x:row r="383" ht="15.75" customHeight="1"/>
    <x:row r="384" ht="15.75" customHeight="1"/>
    <x:row r="385" ht="15.75" customHeight="1"/>
    <x:row r="386" ht="15.75" customHeight="1"/>
    <x:row r="387" ht="15.75" customHeight="1"/>
    <x:row r="388" ht="15.75" customHeight="1"/>
    <x:row r="389" ht="15.75" customHeight="1"/>
    <x:row r="390" ht="15.75" customHeight="1"/>
    <x:row r="391" ht="15.75" customHeight="1"/>
    <x:row r="392" ht="15.75" customHeight="1"/>
    <x:row r="393" ht="15.75" customHeight="1"/>
    <x:row r="394" ht="15.75" customHeight="1"/>
    <x:row r="395" ht="15.75" customHeight="1"/>
    <x:row r="396" ht="15.75" customHeight="1"/>
    <x:row r="397" ht="15.75" customHeight="1"/>
    <x:row r="398" ht="15.75" customHeight="1"/>
    <x:row r="399" ht="15.75" customHeight="1"/>
    <x:row r="400" ht="15.75" customHeight="1"/>
    <x:row r="401" ht="15.75" customHeight="1"/>
    <x:row r="402" ht="15.75" customHeight="1"/>
    <x:row r="403" ht="15.75" customHeight="1"/>
    <x:row r="404" ht="15.75" customHeight="1"/>
    <x:row r="405" ht="15.75" customHeight="1"/>
    <x:row r="406" ht="15.75" customHeight="1"/>
    <x:row r="407" ht="15.75" customHeight="1"/>
    <x:row r="408" ht="15.75" customHeight="1"/>
    <x:row r="409" ht="15.75" customHeight="1"/>
    <x:row r="410" ht="15.75" customHeight="1"/>
    <x:row r="411" ht="15.75" customHeight="1"/>
    <x:row r="412" ht="15.75" customHeight="1"/>
    <x:row r="413" ht="15.75" customHeight="1"/>
    <x:row r="414" ht="15.75" customHeight="1"/>
    <x:row r="415" ht="15.75" customHeight="1"/>
    <x:row r="416" ht="15.75" customHeight="1"/>
    <x:row r="417" ht="15.75" customHeight="1"/>
    <x:row r="418" ht="15.75" customHeight="1"/>
    <x:row r="419" ht="15.75" customHeight="1"/>
    <x:row r="420" ht="15.75" customHeight="1"/>
    <x:row r="421" ht="15.75" customHeight="1"/>
    <x:row r="422" ht="15.75" customHeight="1"/>
    <x:row r="423" ht="15.75" customHeight="1"/>
    <x:row r="424" ht="15.75" customHeight="1"/>
    <x:row r="425" ht="15.75" customHeight="1"/>
    <x:row r="426" ht="15.75" customHeight="1"/>
    <x:row r="427" ht="15.75" customHeight="1"/>
    <x:row r="428" ht="15.75" customHeight="1"/>
    <x:row r="429" ht="15.75" customHeight="1"/>
    <x:row r="430" ht="15.75" customHeight="1"/>
    <x:row r="431" ht="15.75" customHeight="1"/>
    <x:row r="432" ht="15.75" customHeight="1"/>
    <x:row r="433" ht="15.75" customHeight="1"/>
    <x:row r="434" ht="15.75" customHeight="1"/>
    <x:row r="435" ht="15.75" customHeight="1"/>
    <x:row r="436" ht="15.75" customHeight="1"/>
    <x:row r="437" ht="15.75" customHeight="1"/>
    <x:row r="438" ht="15.75" customHeight="1"/>
    <x:row r="439" ht="15.75" customHeight="1"/>
    <x:row r="440" ht="15.75" customHeight="1"/>
    <x:row r="441" ht="15.75" customHeight="1"/>
    <x:row r="442" ht="15.75" customHeight="1"/>
    <x:row r="443" ht="15.75" customHeight="1"/>
    <x:row r="444" ht="15.75" customHeight="1"/>
    <x:row r="445" ht="15.75" customHeight="1"/>
    <x:row r="446" ht="15.75" customHeight="1"/>
    <x:row r="447" ht="15.75" customHeight="1"/>
    <x:row r="448" ht="15.75" customHeight="1"/>
    <x:row r="449" ht="15.75" customHeight="1"/>
    <x:row r="450" ht="15.75" customHeight="1"/>
    <x:row r="451" ht="15.75" customHeight="1"/>
    <x:row r="452" ht="15.75" customHeight="1"/>
    <x:row r="453" ht="15.75" customHeight="1"/>
    <x:row r="454" ht="15.75" customHeight="1"/>
    <x:row r="455" ht="15.75" customHeight="1"/>
    <x:row r="456" ht="15.75" customHeight="1"/>
    <x:row r="457" ht="15.75" customHeight="1"/>
    <x:row r="458" ht="15.75" customHeight="1"/>
    <x:row r="459" ht="15.75" customHeight="1"/>
    <x:row r="460" ht="15.75" customHeight="1"/>
    <x:row r="461" ht="15.75" customHeight="1"/>
    <x:row r="462" ht="15.75" customHeight="1"/>
    <x:row r="463" ht="15.75" customHeight="1"/>
    <x:row r="464" ht="15.75" customHeight="1"/>
    <x:row r="465" ht="15.75" customHeight="1"/>
    <x:row r="466" ht="15.75" customHeight="1"/>
    <x:row r="467" ht="15.75" customHeight="1"/>
    <x:row r="468" ht="15.75" customHeight="1"/>
    <x:row r="469" ht="15.75" customHeight="1"/>
    <x:row r="470" ht="15.75" customHeight="1"/>
    <x:row r="471" ht="15.75" customHeight="1"/>
    <x:row r="472" ht="15.75" customHeight="1"/>
    <x:row r="473" ht="15.75" customHeight="1"/>
    <x:row r="474" ht="15.75" customHeight="1"/>
    <x:row r="475" ht="15.75" customHeight="1"/>
    <x:row r="476" ht="15.75" customHeight="1"/>
    <x:row r="477" ht="15.75" customHeight="1"/>
    <x:row r="478" ht="15.75" customHeight="1"/>
    <x:row r="479" ht="15.75" customHeight="1"/>
    <x:row r="480" ht="15.75" customHeight="1"/>
    <x:row r="481" ht="15.75" customHeight="1"/>
    <x:row r="482" ht="15.75" customHeight="1"/>
    <x:row r="483" ht="15.75" customHeight="1"/>
    <x:row r="484" ht="15.75" customHeight="1"/>
    <x:row r="485" ht="15.75" customHeight="1"/>
    <x:row r="486" ht="15.75" customHeight="1"/>
    <x:row r="487" ht="15.75" customHeight="1"/>
    <x:row r="488" ht="15.75" customHeight="1"/>
    <x:row r="489" ht="15.75" customHeight="1"/>
    <x:row r="490" ht="15.75" customHeight="1"/>
    <x:row r="491" ht="15.75" customHeight="1"/>
    <x:row r="492" ht="15.75" customHeight="1"/>
    <x:row r="493" ht="15.75" customHeight="1"/>
    <x:row r="494" ht="15.75" customHeight="1"/>
    <x:row r="495" ht="15.75" customHeight="1"/>
    <x:row r="496" ht="15.75" customHeight="1"/>
    <x:row r="497" ht="15.75" customHeight="1"/>
    <x:row r="498" ht="15.75" customHeight="1"/>
    <x:row r="499" ht="15.75" customHeight="1"/>
    <x:row r="500" ht="15.75" customHeight="1"/>
    <x:row r="501" ht="15.75" customHeight="1"/>
    <x:row r="502" ht="15.75" customHeight="1"/>
    <x:row r="503" ht="15.75" customHeight="1"/>
    <x:row r="504" ht="15.75" customHeight="1"/>
    <x:row r="505" ht="15.75" customHeight="1"/>
    <x:row r="506" ht="15.75" customHeight="1"/>
    <x:row r="507" ht="15.75" customHeight="1"/>
    <x:row r="508" ht="15.75" customHeight="1"/>
    <x:row r="509" ht="15.75" customHeight="1"/>
    <x:row r="510" ht="15.75" customHeight="1"/>
    <x:row r="511" ht="15.75" customHeight="1"/>
    <x:row r="512" ht="15.75" customHeight="1"/>
    <x:row r="513" ht="15.75" customHeight="1"/>
    <x:row r="514" ht="15.75" customHeight="1"/>
    <x:row r="515" ht="15.75" customHeight="1"/>
    <x:row r="516" ht="15.75" customHeight="1"/>
    <x:row r="517" ht="15.75" customHeight="1"/>
    <x:row r="518" ht="15.75" customHeight="1"/>
    <x:row r="519" ht="15.75" customHeight="1"/>
    <x:row r="520" ht="15.75" customHeight="1"/>
    <x:row r="521" ht="15.75" customHeight="1"/>
    <x:row r="522" ht="15.75" customHeight="1"/>
    <x:row r="523" ht="15.75" customHeight="1"/>
    <x:row r="524" ht="15.75" customHeight="1"/>
    <x:row r="525" ht="15.75" customHeight="1"/>
    <x:row r="526" ht="15.75" customHeight="1"/>
    <x:row r="527" ht="15.75" customHeight="1"/>
    <x:row r="528" ht="15.75" customHeight="1"/>
    <x:row r="529" ht="15.75" customHeight="1"/>
    <x:row r="530" ht="15.75" customHeight="1"/>
    <x:row r="531" ht="15.75" customHeight="1"/>
    <x:row r="532" ht="15.75" customHeight="1"/>
    <x:row r="533" ht="15.75" customHeight="1"/>
    <x:row r="534" ht="15.75" customHeight="1"/>
    <x:row r="535" ht="15.75" customHeight="1"/>
    <x:row r="536" ht="15.75" customHeight="1"/>
    <x:row r="537" ht="15.75" customHeight="1"/>
    <x:row r="538" ht="15.75" customHeight="1"/>
    <x:row r="539" ht="15.75" customHeight="1"/>
    <x:row r="540" ht="15.75" customHeight="1"/>
    <x:row r="541" ht="15.75" customHeight="1"/>
    <x:row r="542" ht="15.75" customHeight="1"/>
    <x:row r="543" ht="15.75" customHeight="1"/>
    <x:row r="544" ht="15.75" customHeight="1"/>
    <x:row r="545" ht="15.75" customHeight="1"/>
    <x:row r="546" ht="15.75" customHeight="1"/>
    <x:row r="547" ht="15.75" customHeight="1"/>
    <x:row r="548" ht="15.75" customHeight="1"/>
    <x:row r="549" ht="15.75" customHeight="1"/>
    <x:row r="550" ht="15.75" customHeight="1"/>
    <x:row r="551" ht="15.75" customHeight="1"/>
    <x:row r="552" ht="15.75" customHeight="1"/>
    <x:row r="553" ht="15.75" customHeight="1"/>
    <x:row r="554" ht="15.75" customHeight="1"/>
    <x:row r="555" ht="15.75" customHeight="1"/>
    <x:row r="556" ht="15.75" customHeight="1"/>
    <x:row r="557" ht="15.75" customHeight="1"/>
    <x:row r="558" ht="15.75" customHeight="1"/>
    <x:row r="559" ht="15.75" customHeight="1"/>
    <x:row r="560" ht="15.75" customHeight="1"/>
    <x:row r="561" ht="15.75" customHeight="1"/>
    <x:row r="562" ht="15.75" customHeight="1"/>
    <x:row r="563" ht="15.75" customHeight="1"/>
    <x:row r="564" ht="15.75" customHeight="1"/>
    <x:row r="565" ht="15.75" customHeight="1"/>
    <x:row r="566" ht="15.75" customHeight="1"/>
    <x:row r="567" ht="15.75" customHeight="1"/>
    <x:row r="568" ht="15.75" customHeight="1"/>
    <x:row r="569" ht="15.75" customHeight="1"/>
    <x:row r="570" ht="15.75" customHeight="1"/>
    <x:row r="571" ht="15.75" customHeight="1"/>
    <x:row r="572" ht="15.75" customHeight="1"/>
    <x:row r="573" ht="15.75" customHeight="1"/>
    <x:row r="574" ht="15.75" customHeight="1"/>
    <x:row r="575" ht="15.75" customHeight="1"/>
    <x:row r="576" ht="15.75" customHeight="1"/>
    <x:row r="577" ht="15.75" customHeight="1"/>
    <x:row r="578" ht="15.75" customHeight="1"/>
    <x:row r="579" ht="15.75" customHeight="1"/>
    <x:row r="580" ht="15.75" customHeight="1"/>
    <x:row r="581" ht="15.75" customHeight="1"/>
    <x:row r="582" ht="15.75" customHeight="1"/>
    <x:row r="583" ht="15.75" customHeight="1"/>
    <x:row r="584" ht="15.75" customHeight="1"/>
    <x:row r="585" ht="15.75" customHeight="1"/>
    <x:row r="586" ht="15.75" customHeight="1"/>
    <x:row r="587" ht="15.75" customHeight="1"/>
    <x:row r="588" ht="15.75" customHeight="1"/>
    <x:row r="589" ht="15.75" customHeight="1"/>
    <x:row r="590" ht="15.75" customHeight="1"/>
    <x:row r="591" ht="15.75" customHeight="1"/>
    <x:row r="592" ht="15.75" customHeight="1"/>
    <x:row r="593" ht="15.75" customHeight="1"/>
    <x:row r="594" ht="15.75" customHeight="1"/>
    <x:row r="595" ht="15.75" customHeight="1"/>
    <x:row r="596" ht="15.75" customHeight="1"/>
    <x:row r="597" ht="15.75" customHeight="1"/>
    <x:row r="598" ht="15.75" customHeight="1"/>
    <x:row r="599" ht="15.75" customHeight="1"/>
    <x:row r="600" ht="15.75" customHeight="1"/>
    <x:row r="601" ht="15.75" customHeight="1"/>
    <x:row r="602" ht="15.75" customHeight="1"/>
    <x:row r="603" ht="15.75" customHeight="1"/>
    <x:row r="604" ht="15.75" customHeight="1"/>
    <x:row r="605" ht="15.75" customHeight="1"/>
    <x:row r="606" ht="15.75" customHeight="1"/>
    <x:row r="607" ht="15.75" customHeight="1"/>
    <x:row r="608" ht="15.75" customHeight="1"/>
    <x:row r="609" ht="15.75" customHeight="1"/>
    <x:row r="610" ht="15.75" customHeight="1"/>
    <x:row r="611" ht="15.75" customHeight="1"/>
    <x:row r="612" ht="15.75" customHeight="1"/>
    <x:row r="613" ht="15.75" customHeight="1"/>
    <x:row r="614" ht="15.75" customHeight="1"/>
    <x:row r="615" ht="15.75" customHeight="1"/>
    <x:row r="616" ht="15.75" customHeight="1"/>
    <x:row r="617" ht="15.75" customHeight="1"/>
    <x:row r="618" ht="15.75" customHeight="1"/>
    <x:row r="619" ht="15.75" customHeight="1"/>
    <x:row r="620" ht="15.75" customHeight="1"/>
    <x:row r="621" ht="15.75" customHeight="1"/>
    <x:row r="622" ht="15.75" customHeight="1"/>
    <x:row r="623" ht="15.75" customHeight="1"/>
    <x:row r="624" ht="15.75" customHeight="1"/>
    <x:row r="625" ht="15.75" customHeight="1"/>
    <x:row r="626" ht="15.75" customHeight="1"/>
    <x:row r="627" ht="15.75" customHeight="1"/>
    <x:row r="628" ht="15.75" customHeight="1"/>
    <x:row r="629" ht="15.75" customHeight="1"/>
    <x:row r="630" ht="15.75" customHeight="1"/>
    <x:row r="631" ht="15.75" customHeight="1"/>
    <x:row r="632" ht="15.75" customHeight="1"/>
    <x:row r="633" ht="15.75" customHeight="1"/>
    <x:row r="634" ht="15.75" customHeight="1"/>
    <x:row r="635" ht="15.75" customHeight="1"/>
    <x:row r="636" ht="15.75" customHeight="1"/>
    <x:row r="637" ht="15.75" customHeight="1"/>
    <x:row r="638" ht="15.75" customHeight="1"/>
    <x:row r="639" ht="15.75" customHeight="1"/>
    <x:row r="640" ht="15.75" customHeight="1"/>
    <x:row r="641" ht="15.75" customHeight="1"/>
    <x:row r="642" ht="15.75" customHeight="1"/>
    <x:row r="643" ht="15.75" customHeight="1"/>
    <x:row r="644" ht="15.75" customHeight="1"/>
    <x:row r="645" ht="15.75" customHeight="1"/>
    <x:row r="646" ht="15.75" customHeight="1"/>
    <x:row r="647" ht="15.75" customHeight="1"/>
    <x:row r="648" ht="15.75" customHeight="1"/>
    <x:row r="649" ht="15.75" customHeight="1"/>
    <x:row r="650" ht="15.75" customHeight="1"/>
    <x:row r="651" ht="15.75" customHeight="1"/>
    <x:row r="652" ht="15.75" customHeight="1"/>
    <x:row r="653" ht="15.75" customHeight="1"/>
    <x:row r="654" ht="15.75" customHeight="1"/>
    <x:row r="655" ht="15.75" customHeight="1"/>
    <x:row r="656" ht="15.75" customHeight="1"/>
    <x:row r="657" ht="15.75" customHeight="1"/>
    <x:row r="658" ht="15.75" customHeight="1"/>
    <x:row r="659" ht="15.75" customHeight="1"/>
    <x:row r="660" ht="15.75" customHeight="1"/>
    <x:row r="661" ht="15.75" customHeight="1"/>
    <x:row r="662" ht="15.75" customHeight="1"/>
    <x:row r="663" ht="15.75" customHeight="1"/>
    <x:row r="664" ht="15.75" customHeight="1"/>
    <x:row r="665" ht="15.75" customHeight="1"/>
    <x:row r="666" ht="15.75" customHeight="1"/>
    <x:row r="667" ht="15.75" customHeight="1"/>
    <x:row r="668" ht="15.75" customHeight="1"/>
    <x:row r="669" ht="15.75" customHeight="1"/>
    <x:row r="670" ht="15.75" customHeight="1"/>
    <x:row r="671" ht="15.75" customHeight="1"/>
    <x:row r="672" ht="15.75" customHeight="1"/>
    <x:row r="673" ht="15.75" customHeight="1"/>
    <x:row r="674" ht="15.75" customHeight="1"/>
    <x:row r="675" ht="15.75" customHeight="1"/>
    <x:row r="676" ht="15.75" customHeight="1"/>
    <x:row r="677" ht="15.75" customHeight="1"/>
    <x:row r="678" ht="15.75" customHeight="1"/>
    <x:row r="679" ht="15.75" customHeight="1"/>
    <x:row r="680" ht="15.75" customHeight="1"/>
    <x:row r="681" ht="15.75" customHeight="1"/>
    <x:row r="682" ht="15.75" customHeight="1"/>
    <x:row r="683" ht="15.75" customHeight="1"/>
    <x:row r="684" ht="15.75" customHeight="1"/>
    <x:row r="685" ht="15.75" customHeight="1"/>
    <x:row r="686" ht="15.75" customHeight="1"/>
    <x:row r="687" ht="15.75" customHeight="1"/>
    <x:row r="688" ht="15.75" customHeight="1"/>
    <x:row r="689" ht="15.75" customHeight="1"/>
    <x:row r="690" ht="15.75" customHeight="1"/>
    <x:row r="691" ht="15.75" customHeight="1"/>
    <x:row r="692" ht="15.75" customHeight="1"/>
    <x:row r="693" ht="15.75" customHeight="1"/>
    <x:row r="694" ht="15.75" customHeight="1"/>
    <x:row r="695" ht="15.75" customHeight="1"/>
    <x:row r="696" ht="15.75" customHeight="1"/>
    <x:row r="697" ht="15.75" customHeight="1"/>
    <x:row r="698" ht="15.75" customHeight="1"/>
    <x:row r="699" ht="15.75" customHeight="1"/>
    <x:row r="700" ht="15.75" customHeight="1"/>
    <x:row r="701" ht="15.75" customHeight="1"/>
    <x:row r="702" ht="15.75" customHeight="1"/>
    <x:row r="703" ht="15.75" customHeight="1"/>
    <x:row r="704" ht="15.75" customHeight="1"/>
    <x:row r="705" ht="15.75" customHeight="1"/>
    <x:row r="706" ht="15.75" customHeight="1"/>
    <x:row r="707" ht="15.75" customHeight="1"/>
    <x:row r="708" ht="15.75" customHeight="1"/>
    <x:row r="709" ht="15.75" customHeight="1"/>
    <x:row r="710" ht="15.75" customHeight="1"/>
    <x:row r="711" ht="15.75" customHeight="1"/>
    <x:row r="712" ht="15.75" customHeight="1"/>
    <x:row r="713" ht="15.75" customHeight="1"/>
    <x:row r="714" ht="15.75" customHeight="1"/>
    <x:row r="715" ht="15.75" customHeight="1"/>
    <x:row r="716" ht="15.75" customHeight="1"/>
    <x:row r="717" ht="15.75" customHeight="1"/>
    <x:row r="718" ht="15.75" customHeight="1"/>
    <x:row r="719" ht="15.75" customHeight="1"/>
    <x:row r="720" ht="15.75" customHeight="1"/>
    <x:row r="721" ht="15.75" customHeight="1"/>
    <x:row r="722" ht="15.75" customHeight="1"/>
    <x:row r="723" ht="15.75" customHeight="1"/>
    <x:row r="724" ht="15.75" customHeight="1"/>
    <x:row r="725" ht="15.75" customHeight="1"/>
    <x:row r="726" ht="15.75" customHeight="1"/>
    <x:row r="727" ht="15.75" customHeight="1"/>
    <x:row r="728" ht="15.75" customHeight="1"/>
    <x:row r="729" ht="15.75" customHeight="1"/>
    <x:row r="730" ht="15.75" customHeight="1"/>
    <x:row r="731" ht="15.75" customHeight="1"/>
    <x:row r="732" ht="15.75" customHeight="1"/>
    <x:row r="733" ht="15.75" customHeight="1"/>
    <x:row r="734" ht="15.75" customHeight="1"/>
    <x:row r="735" ht="15.75" customHeight="1"/>
    <x:row r="736" ht="15.75" customHeight="1"/>
    <x:row r="737" ht="15.75" customHeight="1"/>
    <x:row r="738" ht="15.75" customHeight="1"/>
    <x:row r="739" ht="15.75" customHeight="1"/>
    <x:row r="740" ht="15.75" customHeight="1"/>
    <x:row r="741" ht="15.75" customHeight="1"/>
    <x:row r="742" ht="15.75" customHeight="1"/>
    <x:row r="743" ht="15.75" customHeight="1"/>
    <x:row r="744" ht="15.75" customHeight="1"/>
    <x:row r="745" ht="15.75" customHeight="1"/>
    <x:row r="746" ht="15.75" customHeight="1"/>
    <x:row r="747" ht="15.75" customHeight="1"/>
    <x:row r="748" ht="15.75" customHeight="1"/>
    <x:row r="749" ht="15.75" customHeight="1"/>
    <x:row r="750" ht="15.75" customHeight="1"/>
    <x:row r="751" ht="15.75" customHeight="1"/>
    <x:row r="752" ht="15.75" customHeight="1"/>
    <x:row r="753" ht="15.75" customHeight="1"/>
    <x:row r="754" ht="15.75" customHeight="1"/>
    <x:row r="755" ht="15.75" customHeight="1"/>
    <x:row r="756" ht="15.75" customHeight="1"/>
    <x:row r="757" ht="15.75" customHeight="1"/>
    <x:row r="758" ht="15.75" customHeight="1"/>
    <x:row r="759" ht="15.75" customHeight="1"/>
    <x:row r="760" ht="15.75" customHeight="1"/>
    <x:row r="761" ht="15.75" customHeight="1"/>
    <x:row r="762" ht="15.75" customHeight="1"/>
    <x:row r="763" ht="15.75" customHeight="1"/>
    <x:row r="764" ht="15.75" customHeight="1"/>
    <x:row r="765" ht="15.75" customHeight="1"/>
    <x:row r="766" ht="15.75" customHeight="1"/>
    <x:row r="767" ht="15.75" customHeight="1"/>
    <x:row r="768" ht="15.75" customHeight="1"/>
    <x:row r="769" ht="15.75" customHeight="1"/>
    <x:row r="770" ht="15.75" customHeight="1"/>
    <x:row r="771" ht="15.75" customHeight="1"/>
    <x:row r="772" ht="15.75" customHeight="1"/>
    <x:row r="773" ht="15.75" customHeight="1"/>
    <x:row r="774" ht="15.75" customHeight="1"/>
    <x:row r="775" ht="15.75" customHeight="1"/>
    <x:row r="776" ht="15.75" customHeight="1"/>
    <x:row r="777" ht="15.75" customHeight="1"/>
    <x:row r="778" ht="15.75" customHeight="1"/>
    <x:row r="779" ht="15.75" customHeight="1"/>
    <x:row r="780" ht="15.75" customHeight="1"/>
    <x:row r="781" ht="15.75" customHeight="1"/>
    <x:row r="782" ht="15.75" customHeight="1"/>
    <x:row r="783" ht="15.75" customHeight="1"/>
    <x:row r="784" ht="15.75" customHeight="1"/>
    <x:row r="785" ht="15.75" customHeight="1"/>
    <x:row r="786" ht="15.75" customHeight="1"/>
    <x:row r="787" ht="15.75" customHeight="1"/>
    <x:row r="788" ht="15.75" customHeight="1"/>
    <x:row r="789" ht="15.75" customHeight="1"/>
    <x:row r="790" ht="15.75" customHeight="1"/>
    <x:row r="791" ht="15.75" customHeight="1"/>
    <x:row r="792" ht="15.75" customHeight="1"/>
    <x:row r="793" ht="15.75" customHeight="1"/>
    <x:row r="794" ht="15.75" customHeight="1"/>
    <x:row r="795" ht="15.75" customHeight="1"/>
    <x:row r="796" ht="15.75" customHeight="1"/>
    <x:row r="797" ht="15.75" customHeight="1"/>
    <x:row r="798" ht="15.75" customHeight="1"/>
    <x:row r="799" ht="15.75" customHeight="1"/>
    <x:row r="800" ht="15.75" customHeight="1"/>
    <x:row r="801" ht="15.75" customHeight="1"/>
    <x:row r="802" ht="15.75" customHeight="1"/>
    <x:row r="803" ht="15.75" customHeight="1"/>
    <x:row r="804" ht="15.75" customHeight="1"/>
    <x:row r="805" ht="15.75" customHeight="1"/>
    <x:row r="806" ht="15.75" customHeight="1"/>
    <x:row r="807" ht="15.75" customHeight="1"/>
    <x:row r="808" ht="15.75" customHeight="1"/>
    <x:row r="809" ht="15.75" customHeight="1"/>
    <x:row r="810" ht="15.75" customHeight="1"/>
    <x:row r="811" ht="15.75" customHeight="1"/>
    <x:row r="812" ht="15.75" customHeight="1"/>
    <x:row r="813" ht="15.75" customHeight="1"/>
    <x:row r="814" ht="15.75" customHeight="1"/>
    <x:row r="815" ht="15.75" customHeight="1"/>
    <x:row r="816" ht="15.75" customHeight="1"/>
    <x:row r="817" ht="15.75" customHeight="1"/>
    <x:row r="818" ht="15.75" customHeight="1"/>
    <x:row r="819" ht="15.75" customHeight="1"/>
    <x:row r="820" ht="15.75" customHeight="1"/>
    <x:row r="821" ht="15.75" customHeight="1"/>
    <x:row r="822" ht="15.75" customHeight="1"/>
    <x:row r="823" ht="15.75" customHeight="1"/>
    <x:row r="824" ht="15.75" customHeight="1"/>
    <x:row r="825" ht="15.75" customHeight="1"/>
    <x:row r="826" ht="15.75" customHeight="1"/>
    <x:row r="827" ht="15.75" customHeight="1"/>
    <x:row r="828" ht="15.75" customHeight="1"/>
    <x:row r="829" ht="15.75" customHeight="1"/>
    <x:row r="830" ht="15.75" customHeight="1"/>
    <x:row r="831" ht="15.75" customHeight="1"/>
    <x:row r="832" ht="15.75" customHeight="1"/>
    <x:row r="833" ht="15.75" customHeight="1"/>
    <x:row r="834" ht="15.75" customHeight="1"/>
    <x:row r="835" ht="15.75" customHeight="1"/>
    <x:row r="836" ht="15.75" customHeight="1"/>
    <x:row r="837" ht="15.75" customHeight="1"/>
    <x:row r="838" ht="15.75" customHeight="1"/>
    <x:row r="839" ht="15.75" customHeight="1"/>
    <x:row r="840" ht="15.75" customHeight="1"/>
    <x:row r="841" ht="15.75" customHeight="1"/>
    <x:row r="842" ht="15.75" customHeight="1"/>
    <x:row r="843" ht="15.75" customHeight="1"/>
    <x:row r="844" ht="15.75" customHeight="1"/>
    <x:row r="845" ht="15.75" customHeight="1"/>
    <x:row r="846" ht="15.75" customHeight="1"/>
    <x:row r="847" ht="15.75" customHeight="1"/>
    <x:row r="848" ht="15.75" customHeight="1"/>
    <x:row r="849" ht="15.75" customHeight="1"/>
    <x:row r="850" ht="15.75" customHeight="1"/>
    <x:row r="851" ht="15.75" customHeight="1"/>
    <x:row r="852" ht="15.75" customHeight="1"/>
    <x:row r="853" ht="15.75" customHeight="1"/>
    <x:row r="854" ht="15.75" customHeight="1"/>
    <x:row r="855" ht="15.75" customHeight="1"/>
    <x:row r="856" ht="15.75" customHeight="1"/>
    <x:row r="857" ht="15.75" customHeight="1"/>
    <x:row r="858" ht="15.75" customHeight="1"/>
    <x:row r="859" ht="15.75" customHeight="1"/>
    <x:row r="860" ht="15.75" customHeight="1"/>
    <x:row r="861" ht="15.75" customHeight="1"/>
    <x:row r="862" ht="15.75" customHeight="1"/>
    <x:row r="863" ht="15.75" customHeight="1"/>
    <x:row r="864" ht="15.75" customHeight="1"/>
    <x:row r="865" ht="15.75" customHeight="1"/>
    <x:row r="866" ht="15.75" customHeight="1"/>
    <x:row r="867" ht="15.75" customHeight="1"/>
    <x:row r="868" ht="15.75" customHeight="1"/>
    <x:row r="869" ht="15.75" customHeight="1"/>
    <x:row r="870" ht="15.75" customHeight="1"/>
    <x:row r="871" ht="15.75" customHeight="1"/>
    <x:row r="872" ht="15.75" customHeight="1"/>
    <x:row r="873" ht="15.75" customHeight="1"/>
    <x:row r="874" ht="15.75" customHeight="1"/>
    <x:row r="875" ht="15.75" customHeight="1"/>
    <x:row r="876" ht="15.75" customHeight="1"/>
    <x:row r="877" ht="15.75" customHeight="1"/>
    <x:row r="878" ht="15.75" customHeight="1"/>
    <x:row r="879" ht="15.75" customHeight="1"/>
    <x:row r="880" ht="15.75" customHeight="1"/>
    <x:row r="881" ht="15.75" customHeight="1"/>
    <x:row r="882" ht="15.75" customHeight="1"/>
    <x:row r="883" ht="15.75" customHeight="1"/>
    <x:row r="884" ht="15.75" customHeight="1"/>
    <x:row r="885" ht="15.75" customHeight="1"/>
    <x:row r="886" ht="15.75" customHeight="1"/>
    <x:row r="887" ht="15.75" customHeight="1"/>
    <x:row r="888" ht="15.75" customHeight="1"/>
    <x:row r="889" ht="15.75" customHeight="1"/>
    <x:row r="890" ht="15.75" customHeight="1"/>
    <x:row r="891" ht="15.75" customHeight="1"/>
    <x:row r="892" ht="15.75" customHeight="1"/>
    <x:row r="893" ht="15.75" customHeight="1"/>
    <x:row r="894" ht="15.75" customHeight="1"/>
    <x:row r="895" ht="15.75" customHeight="1"/>
    <x:row r="896" ht="15.75" customHeight="1"/>
    <x:row r="897" ht="15.75" customHeight="1"/>
    <x:row r="898" ht="15.75" customHeight="1"/>
    <x:row r="899" ht="15.75" customHeight="1"/>
    <x:row r="900" ht="15.75" customHeight="1"/>
    <x:row r="901" ht="15.75" customHeight="1"/>
    <x:row r="902" ht="15.75" customHeight="1"/>
    <x:row r="903" ht="15.75" customHeight="1"/>
    <x:row r="904" ht="15.75" customHeight="1"/>
    <x:row r="905" ht="15.75" customHeight="1"/>
    <x:row r="906" ht="15.75" customHeight="1"/>
    <x:row r="907" ht="15.75" customHeight="1"/>
    <x:row r="908" ht="15.75" customHeight="1"/>
    <x:row r="909" ht="15.75" customHeight="1"/>
    <x:row r="910" ht="15.75" customHeight="1"/>
    <x:row r="911" ht="15.75" customHeight="1"/>
    <x:row r="912" ht="15.75" customHeight="1"/>
    <x:row r="913" ht="15.75" customHeight="1"/>
    <x:row r="914" ht="15.75" customHeight="1"/>
    <x:row r="915" ht="15.75" customHeight="1"/>
    <x:row r="916" ht="15.75" customHeight="1"/>
    <x:row r="917" ht="15.75" customHeight="1"/>
    <x:row r="918" ht="15.75" customHeight="1"/>
    <x:row r="919" ht="15.75" customHeight="1"/>
    <x:row r="920" ht="15.75" customHeight="1"/>
    <x:row r="921" ht="15.75" customHeight="1"/>
    <x:row r="922" ht="15.75" customHeight="1"/>
    <x:row r="923" ht="15.75" customHeight="1"/>
    <x:row r="924" ht="15.75" customHeight="1"/>
    <x:row r="925" ht="15.75" customHeight="1"/>
    <x:row r="926" ht="15.75" customHeight="1"/>
    <x:row r="927" ht="15.75" customHeight="1"/>
    <x:row r="928" ht="15.75" customHeight="1"/>
    <x:row r="929" ht="15.75" customHeight="1"/>
    <x:row r="930" ht="15.75" customHeight="1"/>
    <x:row r="931" ht="15.75" customHeight="1"/>
    <x:row r="932" ht="15.75" customHeight="1"/>
    <x:row r="933" ht="15.75" customHeight="1"/>
    <x:row r="934" ht="15.75" customHeight="1"/>
    <x:row r="935" ht="15.75" customHeight="1"/>
    <x:row r="936" ht="15.75" customHeight="1"/>
    <x:row r="937" ht="15.75" customHeight="1"/>
    <x:row r="938" ht="15.75" customHeight="1"/>
    <x:row r="939" ht="15.75" customHeight="1"/>
    <x:row r="940" ht="15.75" customHeight="1"/>
    <x:row r="941" ht="15.75" customHeight="1"/>
    <x:row r="942" ht="15.75" customHeight="1"/>
    <x:row r="943" ht="15.75" customHeight="1"/>
    <x:row r="944" ht="15.75" customHeight="1"/>
    <x:row r="945" ht="15.75" customHeight="1"/>
    <x:row r="946" ht="15.75" customHeight="1"/>
    <x:row r="947" ht="15.75" customHeight="1"/>
    <x:row r="948" ht="15.75" customHeight="1"/>
    <x:row r="949" ht="15.75" customHeight="1"/>
    <x:row r="950" ht="15.75" customHeight="1"/>
    <x:row r="951" ht="15.75" customHeight="1"/>
    <x:row r="952" ht="15.75" customHeight="1"/>
    <x:row r="953" ht="15.75" customHeight="1"/>
    <x:row r="954" ht="15.75" customHeight="1"/>
    <x:row r="955" ht="15.75" customHeight="1"/>
    <x:row r="956" ht="15.75" customHeight="1"/>
    <x:row r="957" ht="15.75" customHeight="1"/>
    <x:row r="958" ht="15.75" customHeight="1"/>
    <x:row r="959" ht="15.75" customHeight="1"/>
    <x:row r="960" ht="15.75" customHeight="1"/>
    <x:row r="961" ht="15.75" customHeight="1"/>
    <x:row r="962" ht="15.75" customHeight="1"/>
    <x:row r="963" ht="15.75" customHeight="1"/>
    <x:row r="964" ht="15.75" customHeight="1"/>
    <x:row r="965" ht="15.75" customHeight="1"/>
    <x:row r="966" ht="15.75" customHeight="1"/>
    <x:row r="967" ht="15.75" customHeight="1"/>
    <x:row r="968" ht="15.75" customHeight="1"/>
    <x:row r="969" ht="15.75" customHeight="1"/>
    <x:row r="970" ht="15.75" customHeight="1"/>
    <x:row r="971" ht="15.75" customHeight="1"/>
    <x:row r="972" ht="15.75" customHeight="1"/>
    <x:row r="973" ht="15.75" customHeight="1"/>
    <x:row r="974" ht="15.75" customHeight="1"/>
    <x:row r="975" ht="15.75" customHeight="1"/>
    <x:row r="976" ht="15.75" customHeight="1"/>
    <x:row r="977" ht="15.75" customHeight="1"/>
    <x:row r="978" ht="15.75" customHeight="1"/>
    <x:row r="979" ht="15.75" customHeight="1"/>
    <x:row r="980" ht="15.75" customHeight="1"/>
    <x:row r="981" ht="15.75" customHeight="1"/>
    <x:row r="982" ht="15.75" customHeight="1"/>
    <x:row r="983" ht="15.75" customHeight="1"/>
    <x:row r="984" ht="15.75" customHeight="1"/>
    <x:row r="985" ht="15.75" customHeight="1"/>
    <x:row r="986" ht="15.75" customHeight="1"/>
    <x:row r="987" ht="15.75" customHeight="1"/>
    <x:row r="988" ht="15.75" customHeight="1"/>
    <x:row r="989" ht="15.75" customHeight="1"/>
    <x:row r="990" ht="15.75" customHeight="1"/>
    <x:row r="991" ht="15.75" customHeight="1"/>
    <x:row r="992" ht="15.75" customHeight="1"/>
    <x:row r="993" ht="15.75" customHeight="1"/>
    <x:row r="994" ht="15.75" customHeight="1"/>
    <x:row r="995" ht="15.75" customHeight="1"/>
    <x:row r="996" ht="15.75" customHeight="1"/>
    <x:row r="997" ht="15.75" customHeight="1"/>
    <x:row r="998" ht="15.75" customHeight="1"/>
    <x:row r="999" ht="15.75" customHeight="1"/>
    <x:row r="1000" ht="15.75" customHeight="1"/>
  </x:sheetData>
  <x:mergeCells>
    <x:mergeCell ref="B57:E57"/>
    <x:mergeCell ref="B58:E58"/>
    <x:mergeCell ref="B59:E59"/>
    <x:mergeCell ref="B60:E60"/>
    <x:mergeCell ref="B61:E61"/>
    <x:mergeCell ref="B62:E62"/>
    <x:mergeCell ref="B63:E63"/>
    <x:mergeCell ref="B64:E64"/>
    <x:mergeCell ref="B65:E65"/>
    <x:mergeCell ref="B66:E66"/>
    <x:mergeCell ref="B67:E67"/>
    <x:mergeCell ref="B68:E68"/>
    <x:mergeCell ref="B69:E69"/>
    <x:mergeCell ref="B70:E70"/>
  </x:mergeCells>
  <x:pageMargins left="0.7" right="0.7" top="0.75" bottom="0.75" header="0.3" footer="0.3"/>
</x:worksheet>
</file>